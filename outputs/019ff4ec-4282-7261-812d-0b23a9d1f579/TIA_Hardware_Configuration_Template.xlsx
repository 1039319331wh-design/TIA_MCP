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656d337b9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49ad31a532247e3"/>
    <x:sheet xmlns:r="http://schemas.openxmlformats.org/officeDocument/2006/relationships" name="站点与CPU" sheetId="2" r:id="Rdc053eb0b1774f18"/>
    <x:sheet xmlns:r="http://schemas.openxmlformats.org/officeDocument/2006/relationships" name="硬件模块" sheetId="3" r:id="Rc0fa983adb9d4a59"/>
    <x:sheet xmlns:r="http://schemas.openxmlformats.org/officeDocument/2006/relationships" name="网络连接" sheetId="4" r:id="R09f19825265441ea"/>
    <x:sheet xmlns:r="http://schemas.openxmlformats.org/officeDocument/2006/relationships" name="IO映射" sheetId="5" r:id="Rc24c79b39020440c"/>
    <x:sheet xmlns:r="http://schemas.openxmlformats.org/officeDocument/2006/relationships" name="校验汇总" sheetId="6" r:id="Rb607cd4eda9e4145"/>
    <x:sheet xmlns:r="http://schemas.openxmlformats.org/officeDocument/2006/relationships" name="选项" sheetId="7" r:id="R4c247afb4348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8">
    <x:border/>
    <x:border>
      <x:left style="thin">
        <x:color rgb="FFC9D3DF"/>
      </x:left>
      <x:top style="thin">
        <x:color rgb="FFC9D3DF"/>
      </x:top>
      <x:bottom style="thin">
        <x:color rgb="FFC9D3DF"/>
      </x:bottom>
    </x:border>
    <x:border>
      <x:top style="thin">
        <x:color rgb="FFC9D3DF"/>
      </x:top>
      <x:bottom style="thin">
        <x:color rgb="FFC9D3DF"/>
      </x:bottom>
    </x:border>
    <x:border>
      <x:right style="thin">
        <x:color rgb="FFC9D3DF"/>
      </x:right>
      <x:top style="thin">
        <x:color rgb="FFC9D3DF"/>
      </x:top>
      <x:bottom style="thin">
        <x:color rgb="FFC9D3D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0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8"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632A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5fda44b544477" /><Relationship Type="http://schemas.openxmlformats.org/officeDocument/2006/relationships/theme" Target="/xl/theme/theme1.xml" Id="R9c74d65be7484b86" /><Relationship Type="http://schemas.openxmlformats.org/officeDocument/2006/relationships/sharedStrings" Target="/xl/sharedStrings.xml" Id="R825af618a7f048e4" /><Relationship Type="http://schemas.openxmlformats.org/officeDocument/2006/relationships/worksheet" Target="/xl/worksheets/sheet1.xml" Id="Rf49ad31a532247e3" /><Relationship Type="http://schemas.openxmlformats.org/officeDocument/2006/relationships/worksheet" Target="/xl/worksheets/sheet2.xml" Id="Rdc053eb0b1774f18" /><Relationship Type="http://schemas.openxmlformats.org/officeDocument/2006/relationships/worksheet" Target="/xl/worksheets/sheet3.xml" Id="Rc0fa983adb9d4a59" /><Relationship Type="http://schemas.openxmlformats.org/officeDocument/2006/relationships/worksheet" Target="/xl/worksheets/sheet4.xml" Id="R09f19825265441ea" /><Relationship Type="http://schemas.openxmlformats.org/officeDocument/2006/relationships/worksheet" Target="/xl/worksheets/sheet5.xml" Id="Rc24c79b39020440c" /><Relationship Type="http://schemas.openxmlformats.org/officeDocument/2006/relationships/worksheet" Target="/xl/worksheets/sheet6.xml" Id="Rb607cd4eda9e4145" /><Relationship Type="http://schemas.openxmlformats.org/officeDocument/2006/relationships/worksheet" Target="/xl/worksheets/sheet7.xml" Id="R4c247afb43484604" /></Relationships>
</file>

<file path=xl/tables/table1.xml><?xml version="1.0" encoding="utf-8"?>
<x:table xmlns:x="http://schemas.openxmlformats.org/spreadsheetml/2006/main" id="1" name="StationsTable" displayName="StationsTable" ref="A4:R64" headerRowCount="1" totalsRowCount="0" totalsRowShown="0">
  <x:tableColumns count="18">
    <x:tableColumn id="1" name="操作*"/>
    <x:tableColumn id="2" name="站点ID*"/>
    <x:tableColumn id="3" name="站点名称*"/>
    <x:tableColumn id="4" name="站点类型*"/>
    <x:tableColumn id="5" name="TIA版本*"/>
    <x:tableColumn id="6" name="设备系列*"/>
    <x:tableColumn id="7" name="CPU/接口模块订货号*"/>
    <x:tableColumn id="8" name="固件版本"/>
    <x:tableColumn id="9" name="机架名称"/>
    <x:tableColumn id="10" name="机架号*"/>
    <x:tableColumn id="11" name="PROFINET设备名称"/>
    <x:tableColumn id="12" name="IP地址"/>
    <x:tableColumn id="13" name="子网掩码"/>
    <x:tableColumn id="14" name="网关"/>
    <x:tableColumn id="15" name="PLC名称"/>
    <x:tableColumn id="16" name="源站点ID(克隆时)"/>
    <x:tableColumn id="17" name="备注"/>
    <x:tableColumn id="18" name="校验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Table" displayName="ModulesTable" ref="A4:R124" headerRowCount="1" totalsRowCount="0" totalsRowShown="0">
  <x:tableColumns count="18">
    <x:tableColumn id="1" name="操作*"/>
    <x:tableColumn id="2" name="站点ID*"/>
    <x:tableColumn id="3" name="机架号*"/>
    <x:tableColumn id="4" name="槽位*"/>
    <x:tableColumn id="5" name="子槽位"/>
    <x:tableColumn id="6" name="模块名称*"/>
    <x:tableColumn id="7" name="模块类型*"/>
    <x:tableColumn id="8" name="订货号*"/>
    <x:tableColumn id="9" name="固件版本"/>
    <x:tableColumn id="10" name="父模块名称"/>
    <x:tableColumn id="11" name="输入起始地址"/>
    <x:tableColumn id="12" name="输入长度(Byte)"/>
    <x:tableColumn id="13" name="输出起始地址"/>
    <x:tableColumn id="14" name="输出长度(Byte)"/>
    <x:tableColumn id="15" name="过程映像分区"/>
    <x:tableColumn id="16" name="源模块名称(克隆时)"/>
    <x:tableColumn id="17" name="备注"/>
    <x:tableColumn id="18" name="校验结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tworksTable" displayName="NetworksTable" ref="A4:O84" headerRowCount="1" totalsRowCount="0" totalsRowShown="0">
  <x:tableColumns count="15">
    <x:tableColumn id="1" name="操作*"/>
    <x:tableColumn id="2" name="连接ID*"/>
    <x:tableColumn id="3" name="站点ID*"/>
    <x:tableColumn id="4" name="接口名称*"/>
    <x:tableColumn id="5" name="网络类型*"/>
    <x:tableColumn id="6" name="子网名称*"/>
    <x:tableColumn id="7" name="PROFINET设备名称"/>
    <x:tableColumn id="8" name="IP地址"/>
    <x:tableColumn id="9" name="子网掩码"/>
    <x:tableColumn id="10" name="网关"/>
    <x:tableColumn id="11" name="IO系统名称"/>
    <x:tableColumn id="12" name="更新时间(ms)"/>
    <x:tableColumn id="13" name="同步角色"/>
    <x:tableColumn id="14" name="备注"/>
    <x:tableColumn id="15" name="校验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oMapTable" displayName="IoMapTable" ref="A4:P164" headerRowCount="1" totalsRowCount="0" totalsRowShown="0">
  <x:tableColumns count="16">
    <x:tableColumn id="1" name="操作*"/>
    <x:tableColumn id="2" name="站点ID*"/>
    <x:tableColumn id="3" name="模块名称*"/>
    <x:tableColumn id="4" name="槽位*"/>
    <x:tableColumn id="5" name="通道*"/>
    <x:tableColumn id="6" name="方向*"/>
    <x:tableColumn id="7" name="符号名称*"/>
    <x:tableColumn id="8" name="逻辑地址*"/>
    <x:tableColumn id="9" name="数据类型*"/>
    <x:tableColumn id="10" name="信号描述"/>
    <x:tableColumn id="11" name="工程单位"/>
    <x:tableColumn id="12" name="常态"/>
    <x:tableColumn id="13" name="滤波时间(ms)"/>
    <x:tableColumn id="14" name="变量表"/>
    <x:tableColumn id="15" name="备注"/>
    <x:tableColumn id="16" name="校验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958ac62c4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ba6d16bade41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b4cd7a2f964e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78a2f1d2d42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TIA Portal 硬件组态填写模板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请只填写黄色/绿色区域；灰色校验列由公式自动计算。填写完成后把此文件交回，我会据此生成或修改项目硬件组态。值为“跳过”的行不会处理。</x:v>
      </x:c>
      <x:c r="B2" s="6"/>
      <x:c r="C2" s="6"/>
      <x:c r="D2" s="6"/>
      <x:c r="E2" s="6"/>
      <x:c r="F2" s="6"/>
      <x:c r="G2" s="6"/>
      <x:c r="H2" s="6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 ht="24" customHeight="1">
      <x:c r="A4" s="8" t="str">
        <x:v>使用流程</x:v>
      </x:c>
      <x:c r="B4" s="8"/>
      <x:c r="C4" s="8"/>
      <x:c r="D4" s="8"/>
      <x:c r="E4" s="8"/>
      <x:c r="F4" s="8"/>
      <x:c r="G4" s="8"/>
      <x:c r="H4" s="8"/>
    </x:row>
    <x:row r="5" ht="32" customHeight="1">
      <x:c r="A5" s="11" t="str">
        <x:v>1</x:v>
      </x:c>
      <x:c r="B5" s="13" t="str">
        <x:v>先填写“站点与CPU”</x:v>
      </x:c>
      <x:c r="C5" s="13" t="str">
        <x:v>每个 PLC、远程 I/O 站或其他站点使用唯一的站点ID。</x:v>
      </x:c>
      <x:c r="D5" s="13"/>
      <x:c r="E5" s="13"/>
      <x:c r="F5" s="13"/>
      <x:c r="G5" s="13"/>
      <x:c r="H5" s="13"/>
    </x:row>
    <x:row r="6" ht="32" customHeight="1">
      <x:c r="A6" s="11" t="str">
        <x:v>2</x:v>
      </x:c>
      <x:c r="B6" s="13" t="str">
        <x:v>再填写“硬件模块”</x:v>
      </x:c>
      <x:c r="C6" s="13" t="str">
        <x:v>模块通过站点ID、机架号、槽位和子槽位定位。订货号尽量填写完整。</x:v>
      </x:c>
      <x:c r="D6" s="13"/>
      <x:c r="E6" s="13"/>
      <x:c r="F6" s="13"/>
      <x:c r="G6" s="13"/>
      <x:c r="H6" s="13"/>
    </x:row>
    <x:row r="7" ht="32" customHeight="1">
      <x:c r="A7" s="11" t="str">
        <x:v>3</x:v>
      </x:c>
      <x:c r="B7" s="13" t="str">
        <x:v>填写“网络连接”</x:v>
      </x:c>
      <x:c r="C7" s="13" t="str">
        <x:v>定义接口、子网、IP 地址和 PROFINET 设备名称。</x:v>
      </x:c>
      <x:c r="D7" s="13"/>
      <x:c r="E7" s="13"/>
      <x:c r="F7" s="13"/>
      <x:c r="G7" s="13"/>
      <x:c r="H7" s="13"/>
    </x:row>
    <x:row r="8" ht="32" customHeight="1">
      <x:c r="A8" s="11" t="str">
        <x:v>4</x:v>
      </x:c>
      <x:c r="B8" s="13" t="str">
        <x:v>可选填写“IO映射”</x:v>
      </x:c>
      <x:c r="C8" s="13" t="str">
        <x:v>把通道、逻辑地址和 PLC 变量对应起来，便于后续自动创建标签。</x:v>
      </x:c>
      <x:c r="D8" s="13"/>
      <x:c r="E8" s="13"/>
      <x:c r="F8" s="13"/>
      <x:c r="G8" s="13"/>
      <x:c r="H8" s="13"/>
    </x:row>
    <x:row r="9" ht="32" customHeight="1">
      <x:c r="A9" s="11" t="str">
        <x:v>5</x:v>
      </x:c>
      <x:c r="B9" s="13" t="str">
        <x:v>查看“校验汇总”</x:v>
      </x:c>
      <x:c r="C9" s="13" t="str">
        <x:v>所有错误数为 0 后保存并交回。不要删除工作表或修改列名。</x:v>
      </x:c>
      <x:c r="D9" s="13"/>
      <x:c r="E9" s="13"/>
      <x:c r="F9" s="13"/>
      <x:c r="G9" s="13"/>
      <x:c r="H9" s="13"/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8" t="str">
        <x:v>颜色说明</x:v>
      </x:c>
      <x:c r="B11" s="8"/>
      <x:c r="C11" s="8"/>
      <x:c r="D11" s="8"/>
      <x:c r="E11" s="8"/>
      <x:c r="F11" s="8"/>
      <x:c r="G11" s="8"/>
      <x:c r="H11" s="8"/>
    </x:row>
    <x:row r="12">
      <x:c r="A12" s="14" t="str">
        <x:v>黄色</x:v>
      </x:c>
      <x:c r="B12" s="17" t="str">
        <x:v>必填字段</x:v>
      </x:c>
      <x:c r="C12" s="17"/>
      <x:c r="D12" s="17"/>
      <x:c r="E12" s="17"/>
      <x:c r="F12" s="17"/>
      <x:c r="G12" s="17"/>
      <x:c r="H12" s="17"/>
    </x:row>
    <x:row r="13">
      <x:c r="A13" s="15" t="str">
        <x:v>绿色</x:v>
      </x:c>
      <x:c r="B13" s="17" t="str">
        <x:v>可选字段</x:v>
      </x:c>
      <x:c r="C13" s="17"/>
      <x:c r="D13" s="17"/>
      <x:c r="E13" s="17"/>
      <x:c r="F13" s="17"/>
      <x:c r="G13" s="17"/>
      <x:c r="H13" s="17"/>
    </x:row>
    <x:row r="14">
      <x:c r="A14" s="16" t="str">
        <x:v>灰色</x:v>
      </x:c>
      <x:c r="B14" s="17" t="str">
        <x:v>自动校验字段，请勿修改</x:v>
      </x:c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8" t="str">
        <x:v>填写约定</x:v>
      </x:c>
      <x:c r="B16" s="8"/>
      <x:c r="C16" s="8"/>
      <x:c r="D16" s="8"/>
      <x:c r="E16" s="8"/>
      <x:c r="F16" s="8"/>
      <x:c r="G16" s="8"/>
      <x:c r="H16" s="8"/>
    </x:row>
    <x:row r="17" ht="30" customHeight="1">
      <x:c r="A17" s="13" t="str">
        <x:v>•</x:v>
      </x:c>
      <x:c r="B17" s="13" t="str">
        <x:v>操作列</x:v>
      </x:c>
      <x:c r="C17" s="13" t="str">
        <x:v>新建、更新、克隆或跳过。更新需要目标对象已存在；克隆需在备注中写明源站点/源模块。</x:v>
      </x:c>
      <x:c r="D17" s="13"/>
      <x:c r="E17" s="13"/>
      <x:c r="F17" s="13"/>
      <x:c r="G17" s="13"/>
      <x:c r="H17" s="13"/>
    </x:row>
    <x:row r="18" ht="30" customHeight="1">
      <x:c r="A18" s="13" t="str">
        <x:v>•</x:v>
      </x:c>
      <x:c r="B18" s="13" t="str">
        <x:v>订货号</x:v>
      </x:c>
      <x:c r="C18" s="13" t="str">
        <x:v>请以 Siemens Industry Mall 或实物铭牌为准，例如 6ES7…；不要只写简称。</x:v>
      </x:c>
      <x:c r="D18" s="13"/>
      <x:c r="E18" s="13"/>
      <x:c r="F18" s="13"/>
      <x:c r="G18" s="13"/>
      <x:c r="H18" s="13"/>
    </x:row>
    <x:row r="19" ht="30" customHeight="1">
      <x:c r="A19" s="13" t="str">
        <x:v>•</x:v>
      </x:c>
      <x:c r="B19" s="13" t="str">
        <x:v>槽位</x:v>
      </x:c>
      <x:c r="C19" s="13" t="str">
        <x:v>使用 TIA Portal 中显示的数字；接口子模块请同时填写子槽位。</x:v>
      </x:c>
      <x:c r="D19" s="13"/>
      <x:c r="E19" s="13"/>
      <x:c r="F19" s="13"/>
      <x:c r="G19" s="13"/>
      <x:c r="H19" s="13"/>
    </x:row>
    <x:row r="20" ht="30" customHeight="1">
      <x:c r="A20" s="13" t="str">
        <x:v>•</x:v>
      </x:c>
      <x:c r="B20" s="13" t="str">
        <x:v>地址</x:v>
      </x:c>
      <x:c r="C20" s="13" t="str">
        <x:v>起始地址和长度均使用十进制字节数；布尔通道可在 IO 映射中写 I0.0 / Q0.0。</x:v>
      </x:c>
      <x:c r="D20" s="13"/>
      <x:c r="E20" s="13"/>
      <x:c r="F20" s="13"/>
      <x:c r="G20" s="13"/>
      <x:c r="H20" s="13"/>
    </x:row>
    <x:row r="21" ht="30" customHeight="1">
      <x:c r="A21" s="13" t="str">
        <x:v>•</x:v>
      </x:c>
      <x:c r="B21" s="13" t="str">
        <x:v>空白行</x:v>
      </x:c>
      <x:c r="C21" s="13" t="str">
        <x:v>允许保留；系统只处理操作列不为空且不为“跳过”的行。</x:v>
      </x:c>
      <x:c r="D21" s="13"/>
      <x:c r="E21" s="13"/>
      <x:c r="F21" s="13"/>
      <x:c r="G21" s="13"/>
      <x:c r="H21" s="13"/>
    </x:row>
    <x:row r="22" ht="30" customHeight="1">
      <x:c r="A22" s="13" t="str">
        <x:v>•</x:v>
      </x:c>
      <x:c r="B22" s="13" t="str">
        <x:v>安全硬件</x:v>
      </x:c>
      <x:c r="C22" s="13" t="str">
        <x:v>F-CPU/F-I/O 请在模块类型选择“安全”，并在备注中写明 F 目标和 PROFIsafe 地址。</x:v>
      </x:c>
      <x:c r="D22" s="13"/>
      <x:c r="E22" s="13"/>
      <x:c r="F22" s="13"/>
      <x:c r="G22" s="13"/>
      <x:c r="H22" s="13"/>
    </x:row>
  </x:sheetData>
  <x:mergeCells>
    <x:mergeCell ref="A1:H1"/>
    <x:mergeCell ref="A2:H2"/>
    <x:mergeCell ref="A4:H4"/>
    <x:mergeCell ref="A11:H11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4" hidden="0" customWidth="1"/>
    <x:col min="5" max="5" width="12" hidden="0" customWidth="1"/>
    <x:col min="6" max="6" width="16" hidden="0" customWidth="1"/>
    <x:col min="7" max="7" width="24" hidden="0" customWidth="1"/>
    <x:col min="8" max="8" width="12" hidden="0" customWidth="1"/>
    <x:col min="9" max="9" width="16" hidden="0" customWidth="1"/>
    <x:col min="10" max="10" width="10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28" hidden="0" customWidth="1"/>
    <x:col min="18" max="18" width="18" hidden="0" customWidth="1"/>
  </x:cols>
  <x:sheetData>
    <x:row r="1" ht="34" customHeight="1">
      <x:c r="A1" s="3" t="str">
        <x:v>站点与 CPU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6" t="str">
        <x:v>每个站点一行。带 * 的列为必填；远程 I/O 站可把接口模块订货号填入“CPU/接口模块订货号”。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38" customHeight="1">
      <x:c r="A4" s="28" t="str">
        <x:v>操作*</x:v>
      </x:c>
      <x:c r="B4" s="29" t="str">
        <x:v>站点ID*</x:v>
      </x:c>
      <x:c r="C4" s="29" t="str">
        <x:v>站点名称*</x:v>
      </x:c>
      <x:c r="D4" s="29" t="str">
        <x:v>站点类型*</x:v>
      </x:c>
      <x:c r="E4" s="29" t="str">
        <x:v>TIA版本*</x:v>
      </x:c>
      <x:c r="F4" s="29" t="str">
        <x:v>设备系列*</x:v>
      </x:c>
      <x:c r="G4" s="29" t="str">
        <x:v>CPU/接口模块订货号*</x:v>
      </x:c>
      <x:c r="H4" s="29" t="str">
        <x:v>固件版本</x:v>
      </x:c>
      <x:c r="I4" s="29" t="str">
        <x:v>机架名称</x:v>
      </x:c>
      <x:c r="J4" s="29" t="str">
        <x:v>机架号*</x:v>
      </x:c>
      <x:c r="K4" s="29" t="str">
        <x:v>PROFINET设备名称</x:v>
      </x:c>
      <x:c r="L4" s="29" t="str">
        <x:v>IP地址</x:v>
      </x:c>
      <x:c r="M4" s="29" t="str">
        <x:v>子网掩码</x:v>
      </x:c>
      <x:c r="N4" s="29" t="str">
        <x:v>网关</x:v>
      </x:c>
      <x:c r="O4" s="29" t="str">
        <x:v>PLC名称</x:v>
      </x:c>
      <x:c r="P4" s="29" t="str">
        <x:v>源站点ID(克隆时)</x:v>
      </x:c>
      <x:c r="Q4" s="29" t="str">
        <x:v>备注</x:v>
      </x:c>
      <x:c r="R4" s="30" t="str">
        <x:v>校验结果</x:v>
      </x:c>
    </x:row>
    <x:row r="5">
      <x:c r="A5" s="35" t="str">
        <x:v>新建</x:v>
      </x:c>
      <x:c r="B5" s="35" t="str">
        <x:v>PLC_01</x:v>
      </x:c>
      <x:c r="C5" s="35" t="str">
        <x:v>主控制器</x:v>
      </x:c>
      <x:c r="D5" s="35" t="str">
        <x:v>PLC</x:v>
      </x:c>
      <x:c r="E5" s="35" t="str">
        <x:v>V19</x:v>
      </x:c>
      <x:c r="F5" s="35" t="str">
        <x:v>S7-1500</x:v>
      </x:c>
      <x:c r="G5" s="35" t="str">
        <x:v>6ES7 516-3AN02-0AB0</x:v>
      </x:c>
      <x:c r="H5" s="36" t="str">
        <x:v>V3.1</x:v>
      </x:c>
      <x:c r="I5" s="36" t="str">
        <x:v>Rack_0</x:v>
      </x:c>
      <x:c r="J5" s="35" t="n">
        <x:v>0</x:v>
      </x:c>
      <x:c r="K5" s="36" t="str">
        <x:v>plc-01</x:v>
      </x:c>
      <x:c r="L5" s="36" t="str">
        <x:v>192.168.0.1</x:v>
      </x:c>
      <x:c r="M5" s="36" t="str">
        <x:v>255.255.255.0</x:v>
      </x:c>
      <x:c r="N5" s="36" t="str"/>
      <x:c r="O5" s="36" t="str">
        <x:v>PLC_01</x:v>
      </x:c>
      <x:c r="P5" s="36" t="str"/>
      <x:c r="Q5" s="36" t="str">
        <x:v>示例行，可直接覆盖</x:v>
      </x:c>
      <x:c r="R5" s="41" t="str">
        <x:f>IF(A5="","",IF(A5="跳过","跳过",IF(OR(B5="",C5="",D5="",E5="",F5="",G5="",LEN(J5)=0),"缺少必填项",IF(COUNTIF($B$5:$B$64,B5)&gt;1,"站点ID重复",IF(AND(A5="克隆",P5=""),"缺少源站点ID","通过")))))</x:f>
        <x:v>通过</x:v>
      </x:c>
    </x:row>
    <x:row r="6">
      <x:c r="A6" s="37"/>
      <x:c r="B6" s="37"/>
      <x:c r="C6" s="37"/>
      <x:c r="D6" s="37"/>
      <x:c r="E6" s="37"/>
      <x:c r="F6" s="37"/>
      <x:c r="G6" s="37"/>
      <x:c r="H6" s="38"/>
      <x:c r="I6" s="38"/>
      <x:c r="J6" s="37"/>
      <x:c r="K6" s="38"/>
      <x:c r="L6" s="38"/>
      <x:c r="M6" s="38"/>
      <x:c r="N6" s="38"/>
      <x:c r="O6" s="38"/>
      <x:c r="P6" s="38"/>
      <x:c r="Q6" s="38"/>
      <x:c r="R6" s="42" t="str">
        <x:f>IF(A6="","",IF(A6="跳过","跳过",IF(OR(B6="",C6="",D6="",E6="",F6="",G6="",LEN(J6)=0),"缺少必填项",IF(COUNTIF($B$5:$B$64,B6)&gt;1,"站点ID重复",IF(AND(A6="克隆",P6=""),"缺少源站点ID","通过")))))</x:f>
      </x:c>
    </x:row>
    <x:row r="7">
      <x:c r="A7" s="37"/>
      <x:c r="B7" s="37"/>
      <x:c r="C7" s="37"/>
      <x:c r="D7" s="37"/>
      <x:c r="E7" s="37"/>
      <x:c r="F7" s="37"/>
      <x:c r="G7" s="37"/>
      <x:c r="H7" s="38"/>
      <x:c r="I7" s="38"/>
      <x:c r="J7" s="37"/>
      <x:c r="K7" s="38"/>
      <x:c r="L7" s="38"/>
      <x:c r="M7" s="38"/>
      <x:c r="N7" s="38"/>
      <x:c r="O7" s="38"/>
      <x:c r="P7" s="38"/>
      <x:c r="Q7" s="38"/>
      <x:c r="R7" s="42" t="str">
        <x:f>IF(A7="","",IF(A7="跳过","跳过",IF(OR(B7="",C7="",D7="",E7="",F7="",G7="",LEN(J7)=0),"缺少必填项",IF(COUNTIF($B$5:$B$64,B7)&gt;1,"站点ID重复",IF(AND(A7="克隆",P7=""),"缺少源站点ID","通过")))))</x:f>
      </x:c>
    </x:row>
    <x:row r="8">
      <x:c r="A8" s="37"/>
      <x:c r="B8" s="37"/>
      <x:c r="C8" s="37"/>
      <x:c r="D8" s="37"/>
      <x:c r="E8" s="37"/>
      <x:c r="F8" s="37"/>
      <x:c r="G8" s="37"/>
      <x:c r="H8" s="38"/>
      <x:c r="I8" s="38"/>
      <x:c r="J8" s="37"/>
      <x:c r="K8" s="38"/>
      <x:c r="L8" s="38"/>
      <x:c r="M8" s="38"/>
      <x:c r="N8" s="38"/>
      <x:c r="O8" s="38"/>
      <x:c r="P8" s="38"/>
      <x:c r="Q8" s="38"/>
      <x:c r="R8" s="42" t="str">
        <x:f>IF(A8="","",IF(A8="跳过","跳过",IF(OR(B8="",C8="",D8="",E8="",F8="",G8="",LEN(J8)=0),"缺少必填项",IF(COUNTIF($B$5:$B$64,B8)&gt;1,"站点ID重复",IF(AND(A8="克隆",P8=""),"缺少源站点ID","通过")))))</x:f>
      </x:c>
    </x:row>
    <x:row r="9">
      <x:c r="A9" s="37"/>
      <x:c r="B9" s="37"/>
      <x:c r="C9" s="37"/>
      <x:c r="D9" s="37"/>
      <x:c r="E9" s="37"/>
      <x:c r="F9" s="37"/>
      <x:c r="G9" s="37"/>
      <x:c r="H9" s="38"/>
      <x:c r="I9" s="38"/>
      <x:c r="J9" s="37"/>
      <x:c r="K9" s="38"/>
      <x:c r="L9" s="38"/>
      <x:c r="M9" s="38"/>
      <x:c r="N9" s="38"/>
      <x:c r="O9" s="38"/>
      <x:c r="P9" s="38"/>
      <x:c r="Q9" s="38"/>
      <x:c r="R9" s="42" t="str">
        <x:f>IF(A9="","",IF(A9="跳过","跳过",IF(OR(B9="",C9="",D9="",E9="",F9="",G9="",LEN(J9)=0),"缺少必填项",IF(COUNTIF($B$5:$B$64,B9)&gt;1,"站点ID重复",IF(AND(A9="克隆",P9=""),"缺少源站点ID","通过")))))</x:f>
      </x:c>
    </x:row>
    <x:row r="10">
      <x:c r="A10" s="37"/>
      <x:c r="B10" s="37"/>
      <x:c r="C10" s="37"/>
      <x:c r="D10" s="37"/>
      <x:c r="E10" s="37"/>
      <x:c r="F10" s="37"/>
      <x:c r="G10" s="37"/>
      <x:c r="H10" s="38"/>
      <x:c r="I10" s="38"/>
      <x:c r="J10" s="37"/>
      <x:c r="K10" s="38"/>
      <x:c r="L10" s="38"/>
      <x:c r="M10" s="38"/>
      <x:c r="N10" s="38"/>
      <x:c r="O10" s="38"/>
      <x:c r="P10" s="38"/>
      <x:c r="Q10" s="38"/>
      <x:c r="R10" s="42" t="str">
        <x:f>IF(A10="","",IF(A10="跳过","跳过",IF(OR(B10="",C10="",D10="",E10="",F10="",G10="",LEN(J10)=0),"缺少必填项",IF(COUNTIF($B$5:$B$64,B10)&gt;1,"站点ID重复",IF(AND(A10="克隆",P10=""),"缺少源站点ID","通过")))))</x:f>
      </x:c>
    </x:row>
    <x:row r="11">
      <x:c r="A11" s="37"/>
      <x:c r="B11" s="37"/>
      <x:c r="C11" s="37"/>
      <x:c r="D11" s="37"/>
      <x:c r="E11" s="37"/>
      <x:c r="F11" s="37"/>
      <x:c r="G11" s="37"/>
      <x:c r="H11" s="38"/>
      <x:c r="I11" s="38"/>
      <x:c r="J11" s="37"/>
      <x:c r="K11" s="38"/>
      <x:c r="L11" s="38"/>
      <x:c r="M11" s="38"/>
      <x:c r="N11" s="38"/>
      <x:c r="O11" s="38"/>
      <x:c r="P11" s="38"/>
      <x:c r="Q11" s="38"/>
      <x:c r="R11" s="42" t="str">
        <x:f>IF(A11="","",IF(A11="跳过","跳过",IF(OR(B11="",C11="",D11="",E11="",F11="",G11="",LEN(J11)=0),"缺少必填项",IF(COUNTIF($B$5:$B$64,B11)&gt;1,"站点ID重复",IF(AND(A11="克隆",P11=""),"缺少源站点ID","通过")))))</x:f>
      </x:c>
    </x:row>
    <x:row r="12">
      <x:c r="A12" s="37"/>
      <x:c r="B12" s="37"/>
      <x:c r="C12" s="37"/>
      <x:c r="D12" s="37"/>
      <x:c r="E12" s="37"/>
      <x:c r="F12" s="37"/>
      <x:c r="G12" s="37"/>
      <x:c r="H12" s="38"/>
      <x:c r="I12" s="38"/>
      <x:c r="J12" s="37"/>
      <x:c r="K12" s="38"/>
      <x:c r="L12" s="38"/>
      <x:c r="M12" s="38"/>
      <x:c r="N12" s="38"/>
      <x:c r="O12" s="38"/>
      <x:c r="P12" s="38"/>
      <x:c r="Q12" s="38"/>
      <x:c r="R12" s="42" t="str">
        <x:f>IF(A12="","",IF(A12="跳过","跳过",IF(OR(B12="",C12="",D12="",E12="",F12="",G12="",LEN(J12)=0),"缺少必填项",IF(COUNTIF($B$5:$B$64,B12)&gt;1,"站点ID重复",IF(AND(A12="克隆",P12=""),"缺少源站点ID","通过")))))</x:f>
      </x:c>
    </x:row>
    <x:row r="13">
      <x:c r="A13" s="37"/>
      <x:c r="B13" s="37"/>
      <x:c r="C13" s="37"/>
      <x:c r="D13" s="37"/>
      <x:c r="E13" s="37"/>
      <x:c r="F13" s="37"/>
      <x:c r="G13" s="37"/>
      <x:c r="H13" s="38"/>
      <x:c r="I13" s="38"/>
      <x:c r="J13" s="37"/>
      <x:c r="K13" s="38"/>
      <x:c r="L13" s="38"/>
      <x:c r="M13" s="38"/>
      <x:c r="N13" s="38"/>
      <x:c r="O13" s="38"/>
      <x:c r="P13" s="38"/>
      <x:c r="Q13" s="38"/>
      <x:c r="R13" s="42" t="str">
        <x:f>IF(A13="","",IF(A13="跳过","跳过",IF(OR(B13="",C13="",D13="",E13="",F13="",G13="",LEN(J13)=0),"缺少必填项",IF(COUNTIF($B$5:$B$64,B13)&gt;1,"站点ID重复",IF(AND(A13="克隆",P13=""),"缺少源站点ID","通过")))))</x:f>
      </x:c>
    </x:row>
    <x:row r="14">
      <x:c r="A14" s="37"/>
      <x:c r="B14" s="37"/>
      <x:c r="C14" s="37"/>
      <x:c r="D14" s="37"/>
      <x:c r="E14" s="37"/>
      <x:c r="F14" s="37"/>
      <x:c r="G14" s="37"/>
      <x:c r="H14" s="38"/>
      <x:c r="I14" s="38"/>
      <x:c r="J14" s="37"/>
      <x:c r="K14" s="38"/>
      <x:c r="L14" s="38"/>
      <x:c r="M14" s="38"/>
      <x:c r="N14" s="38"/>
      <x:c r="O14" s="38"/>
      <x:c r="P14" s="38"/>
      <x:c r="Q14" s="38"/>
      <x:c r="R14" s="42" t="str">
        <x:f>IF(A14="","",IF(A14="跳过","跳过",IF(OR(B14="",C14="",D14="",E14="",F14="",G14="",LEN(J14)=0),"缺少必填项",IF(COUNTIF($B$5:$B$64,B14)&gt;1,"站点ID重复",IF(AND(A14="克隆",P14=""),"缺少源站点ID","通过")))))</x:f>
      </x:c>
    </x:row>
    <x:row r="15">
      <x:c r="A15" s="37"/>
      <x:c r="B15" s="37"/>
      <x:c r="C15" s="37"/>
      <x:c r="D15" s="37"/>
      <x:c r="E15" s="37"/>
      <x:c r="F15" s="37"/>
      <x:c r="G15" s="37"/>
      <x:c r="H15" s="38"/>
      <x:c r="I15" s="38"/>
      <x:c r="J15" s="37"/>
      <x:c r="K15" s="38"/>
      <x:c r="L15" s="38"/>
      <x:c r="M15" s="38"/>
      <x:c r="N15" s="38"/>
      <x:c r="O15" s="38"/>
      <x:c r="P15" s="38"/>
      <x:c r="Q15" s="38"/>
      <x:c r="R15" s="42" t="str">
        <x:f>IF(A15="","",IF(A15="跳过","跳过",IF(OR(B15="",C15="",D15="",E15="",F15="",G15="",LEN(J15)=0),"缺少必填项",IF(COUNTIF($B$5:$B$64,B15)&gt;1,"站点ID重复",IF(AND(A15="克隆",P15=""),"缺少源站点ID","通过")))))</x:f>
      </x:c>
    </x:row>
    <x:row r="16">
      <x:c r="A16" s="37"/>
      <x:c r="B16" s="37"/>
      <x:c r="C16" s="37"/>
      <x:c r="D16" s="37"/>
      <x:c r="E16" s="37"/>
      <x:c r="F16" s="37"/>
      <x:c r="G16" s="37"/>
      <x:c r="H16" s="38"/>
      <x:c r="I16" s="38"/>
      <x:c r="J16" s="37"/>
      <x:c r="K16" s="38"/>
      <x:c r="L16" s="38"/>
      <x:c r="M16" s="38"/>
      <x:c r="N16" s="38"/>
      <x:c r="O16" s="38"/>
      <x:c r="P16" s="38"/>
      <x:c r="Q16" s="38"/>
      <x:c r="R16" s="42" t="str">
        <x:f>IF(A16="","",IF(A16="跳过","跳过",IF(OR(B16="",C16="",D16="",E16="",F16="",G16="",LEN(J16)=0),"缺少必填项",IF(COUNTIF($B$5:$B$64,B16)&gt;1,"站点ID重复",IF(AND(A16="克隆",P16=""),"缺少源站点ID","通过")))))</x:f>
      </x:c>
    </x:row>
    <x:row r="17">
      <x:c r="A17" s="37"/>
      <x:c r="B17" s="37"/>
      <x:c r="C17" s="37"/>
      <x:c r="D17" s="37"/>
      <x:c r="E17" s="37"/>
      <x:c r="F17" s="37"/>
      <x:c r="G17" s="37"/>
      <x:c r="H17" s="38"/>
      <x:c r="I17" s="38"/>
      <x:c r="J17" s="37"/>
      <x:c r="K17" s="38"/>
      <x:c r="L17" s="38"/>
      <x:c r="M17" s="38"/>
      <x:c r="N17" s="38"/>
      <x:c r="O17" s="38"/>
      <x:c r="P17" s="38"/>
      <x:c r="Q17" s="38"/>
      <x:c r="R17" s="42" t="str">
        <x:f>IF(A17="","",IF(A17="跳过","跳过",IF(OR(B17="",C17="",D17="",E17="",F17="",G17="",LEN(J17)=0),"缺少必填项",IF(COUNTIF($B$5:$B$64,B17)&gt;1,"站点ID重复",IF(AND(A17="克隆",P17=""),"缺少源站点ID","通过")))))</x:f>
      </x:c>
    </x:row>
    <x:row r="18">
      <x:c r="A18" s="37"/>
      <x:c r="B18" s="37"/>
      <x:c r="C18" s="37"/>
      <x:c r="D18" s="37"/>
      <x:c r="E18" s="37"/>
      <x:c r="F18" s="37"/>
      <x:c r="G18" s="37"/>
      <x:c r="H18" s="38"/>
      <x:c r="I18" s="38"/>
      <x:c r="J18" s="37"/>
      <x:c r="K18" s="38"/>
      <x:c r="L18" s="38"/>
      <x:c r="M18" s="38"/>
      <x:c r="N18" s="38"/>
      <x:c r="O18" s="38"/>
      <x:c r="P18" s="38"/>
      <x:c r="Q18" s="38"/>
      <x:c r="R18" s="42" t="str">
        <x:f>IF(A18="","",IF(A18="跳过","跳过",IF(OR(B18="",C18="",D18="",E18="",F18="",G18="",LEN(J18)=0),"缺少必填项",IF(COUNTIF($B$5:$B$64,B18)&gt;1,"站点ID重复",IF(AND(A18="克隆",P18=""),"缺少源站点ID","通过")))))</x:f>
      </x:c>
    </x:row>
    <x:row r="19">
      <x:c r="A19" s="37"/>
      <x:c r="B19" s="37"/>
      <x:c r="C19" s="37"/>
      <x:c r="D19" s="37"/>
      <x:c r="E19" s="37"/>
      <x:c r="F19" s="37"/>
      <x:c r="G19" s="37"/>
      <x:c r="H19" s="38"/>
      <x:c r="I19" s="38"/>
      <x:c r="J19" s="37"/>
      <x:c r="K19" s="38"/>
      <x:c r="L19" s="38"/>
      <x:c r="M19" s="38"/>
      <x:c r="N19" s="38"/>
      <x:c r="O19" s="38"/>
      <x:c r="P19" s="38"/>
      <x:c r="Q19" s="38"/>
      <x:c r="R19" s="42" t="str">
        <x:f>IF(A19="","",IF(A19="跳过","跳过",IF(OR(B19="",C19="",D19="",E19="",F19="",G19="",LEN(J19)=0),"缺少必填项",IF(COUNTIF($B$5:$B$64,B19)&gt;1,"站点ID重复",IF(AND(A19="克隆",P19=""),"缺少源站点ID","通过")))))</x:f>
      </x:c>
    </x:row>
    <x:row r="20">
      <x:c r="A20" s="37"/>
      <x:c r="B20" s="37"/>
      <x:c r="C20" s="37"/>
      <x:c r="D20" s="37"/>
      <x:c r="E20" s="37"/>
      <x:c r="F20" s="37"/>
      <x:c r="G20" s="37"/>
      <x:c r="H20" s="38"/>
      <x:c r="I20" s="38"/>
      <x:c r="J20" s="37"/>
      <x:c r="K20" s="38"/>
      <x:c r="L20" s="38"/>
      <x:c r="M20" s="38"/>
      <x:c r="N20" s="38"/>
      <x:c r="O20" s="38"/>
      <x:c r="P20" s="38"/>
      <x:c r="Q20" s="38"/>
      <x:c r="R20" s="42" t="str">
        <x:f>IF(A20="","",IF(A20="跳过","跳过",IF(OR(B20="",C20="",D20="",E20="",F20="",G20="",LEN(J20)=0),"缺少必填项",IF(COUNTIF($B$5:$B$64,B20)&gt;1,"站点ID重复",IF(AND(A20="克隆",P20=""),"缺少源站点ID","通过")))))</x:f>
      </x:c>
    </x:row>
    <x:row r="21">
      <x:c r="A21" s="37"/>
      <x:c r="B21" s="37"/>
      <x:c r="C21" s="37"/>
      <x:c r="D21" s="37"/>
      <x:c r="E21" s="37"/>
      <x:c r="F21" s="37"/>
      <x:c r="G21" s="37"/>
      <x:c r="H21" s="38"/>
      <x:c r="I21" s="38"/>
      <x:c r="J21" s="37"/>
      <x:c r="K21" s="38"/>
      <x:c r="L21" s="38"/>
      <x:c r="M21" s="38"/>
      <x:c r="N21" s="38"/>
      <x:c r="O21" s="38"/>
      <x:c r="P21" s="38"/>
      <x:c r="Q21" s="38"/>
      <x:c r="R21" s="42" t="str">
        <x:f>IF(A21="","",IF(A21="跳过","跳过",IF(OR(B21="",C21="",D21="",E21="",F21="",G21="",LEN(J21)=0),"缺少必填项",IF(COUNTIF($B$5:$B$64,B21)&gt;1,"站点ID重复",IF(AND(A21="克隆",P21=""),"缺少源站点ID","通过")))))</x:f>
      </x:c>
    </x:row>
    <x:row r="22">
      <x:c r="A22" s="37"/>
      <x:c r="B22" s="37"/>
      <x:c r="C22" s="37"/>
      <x:c r="D22" s="37"/>
      <x:c r="E22" s="37"/>
      <x:c r="F22" s="37"/>
      <x:c r="G22" s="37"/>
      <x:c r="H22" s="38"/>
      <x:c r="I22" s="38"/>
      <x:c r="J22" s="37"/>
      <x:c r="K22" s="38"/>
      <x:c r="L22" s="38"/>
      <x:c r="M22" s="38"/>
      <x:c r="N22" s="38"/>
      <x:c r="O22" s="38"/>
      <x:c r="P22" s="38"/>
      <x:c r="Q22" s="38"/>
      <x:c r="R22" s="42" t="str">
        <x:f>IF(A22="","",IF(A22="跳过","跳过",IF(OR(B22="",C22="",D22="",E22="",F22="",G22="",LEN(J22)=0),"缺少必填项",IF(COUNTIF($B$5:$B$64,B22)&gt;1,"站点ID重复",IF(AND(A22="克隆",P22=""),"缺少源站点ID","通过")))))</x:f>
      </x:c>
    </x:row>
    <x:row r="23">
      <x:c r="A23" s="37"/>
      <x:c r="B23" s="37"/>
      <x:c r="C23" s="37"/>
      <x:c r="D23" s="37"/>
      <x:c r="E23" s="37"/>
      <x:c r="F23" s="37"/>
      <x:c r="G23" s="37"/>
      <x:c r="H23" s="38"/>
      <x:c r="I23" s="38"/>
      <x:c r="J23" s="37"/>
      <x:c r="K23" s="38"/>
      <x:c r="L23" s="38"/>
      <x:c r="M23" s="38"/>
      <x:c r="N23" s="38"/>
      <x:c r="O23" s="38"/>
      <x:c r="P23" s="38"/>
      <x:c r="Q23" s="38"/>
      <x:c r="R23" s="42" t="str">
        <x:f>IF(A23="","",IF(A23="跳过","跳过",IF(OR(B23="",C23="",D23="",E23="",F23="",G23="",LEN(J23)=0),"缺少必填项",IF(COUNTIF($B$5:$B$64,B23)&gt;1,"站点ID重复",IF(AND(A23="克隆",P23=""),"缺少源站点ID","通过")))))</x:f>
      </x:c>
    </x:row>
    <x:row r="24">
      <x:c r="A24" s="37"/>
      <x:c r="B24" s="37"/>
      <x:c r="C24" s="37"/>
      <x:c r="D24" s="37"/>
      <x:c r="E24" s="37"/>
      <x:c r="F24" s="37"/>
      <x:c r="G24" s="37"/>
      <x:c r="H24" s="38"/>
      <x:c r="I24" s="38"/>
      <x:c r="J24" s="37"/>
      <x:c r="K24" s="38"/>
      <x:c r="L24" s="38"/>
      <x:c r="M24" s="38"/>
      <x:c r="N24" s="38"/>
      <x:c r="O24" s="38"/>
      <x:c r="P24" s="38"/>
      <x:c r="Q24" s="38"/>
      <x:c r="R24" s="42" t="str">
        <x:f>IF(A24="","",IF(A24="跳过","跳过",IF(OR(B24="",C24="",D24="",E24="",F24="",G24="",LEN(J24)=0),"缺少必填项",IF(COUNTIF($B$5:$B$64,B24)&gt;1,"站点ID重复",IF(AND(A24="克隆",P24=""),"缺少源站点ID","通过")))))</x:f>
      </x:c>
    </x:row>
    <x:row r="25">
      <x:c r="A25" s="37"/>
      <x:c r="B25" s="37"/>
      <x:c r="C25" s="37"/>
      <x:c r="D25" s="37"/>
      <x:c r="E25" s="37"/>
      <x:c r="F25" s="37"/>
      <x:c r="G25" s="37"/>
      <x:c r="H25" s="38"/>
      <x:c r="I25" s="38"/>
      <x:c r="J25" s="37"/>
      <x:c r="K25" s="38"/>
      <x:c r="L25" s="38"/>
      <x:c r="M25" s="38"/>
      <x:c r="N25" s="38"/>
      <x:c r="O25" s="38"/>
      <x:c r="P25" s="38"/>
      <x:c r="Q25" s="38"/>
      <x:c r="R25" s="42" t="str">
        <x:f>IF(A25="","",IF(A25="跳过","跳过",IF(OR(B25="",C25="",D25="",E25="",F25="",G25="",LEN(J25)=0),"缺少必填项",IF(COUNTIF($B$5:$B$64,B25)&gt;1,"站点ID重复",IF(AND(A25="克隆",P25=""),"缺少源站点ID","通过")))))</x:f>
      </x:c>
    </x:row>
    <x:row r="26">
      <x:c r="A26" s="37"/>
      <x:c r="B26" s="37"/>
      <x:c r="C26" s="37"/>
      <x:c r="D26" s="37"/>
      <x:c r="E26" s="37"/>
      <x:c r="F26" s="37"/>
      <x:c r="G26" s="37"/>
      <x:c r="H26" s="38"/>
      <x:c r="I26" s="38"/>
      <x:c r="J26" s="37"/>
      <x:c r="K26" s="38"/>
      <x:c r="L26" s="38"/>
      <x:c r="M26" s="38"/>
      <x:c r="N26" s="38"/>
      <x:c r="O26" s="38"/>
      <x:c r="P26" s="38"/>
      <x:c r="Q26" s="38"/>
      <x:c r="R26" s="42" t="str">
        <x:f>IF(A26="","",IF(A26="跳过","跳过",IF(OR(B26="",C26="",D26="",E26="",F26="",G26="",LEN(J26)=0),"缺少必填项",IF(COUNTIF($B$5:$B$64,B26)&gt;1,"站点ID重复",IF(AND(A26="克隆",P26=""),"缺少源站点ID","通过")))))</x:f>
      </x:c>
    </x:row>
    <x:row r="27">
      <x:c r="A27" s="37"/>
      <x:c r="B27" s="37"/>
      <x:c r="C27" s="37"/>
      <x:c r="D27" s="37"/>
      <x:c r="E27" s="37"/>
      <x:c r="F27" s="37"/>
      <x:c r="G27" s="37"/>
      <x:c r="H27" s="38"/>
      <x:c r="I27" s="38"/>
      <x:c r="J27" s="37"/>
      <x:c r="K27" s="38"/>
      <x:c r="L27" s="38"/>
      <x:c r="M27" s="38"/>
      <x:c r="N27" s="38"/>
      <x:c r="O27" s="38"/>
      <x:c r="P27" s="38"/>
      <x:c r="Q27" s="38"/>
      <x:c r="R27" s="42" t="str">
        <x:f>IF(A27="","",IF(A27="跳过","跳过",IF(OR(B27="",C27="",D27="",E27="",F27="",G27="",LEN(J27)=0),"缺少必填项",IF(COUNTIF($B$5:$B$64,B27)&gt;1,"站点ID重复",IF(AND(A27="克隆",P27=""),"缺少源站点ID","通过")))))</x:f>
      </x:c>
    </x:row>
    <x:row r="28">
      <x:c r="A28" s="37"/>
      <x:c r="B28" s="37"/>
      <x:c r="C28" s="37"/>
      <x:c r="D28" s="37"/>
      <x:c r="E28" s="37"/>
      <x:c r="F28" s="37"/>
      <x:c r="G28" s="37"/>
      <x:c r="H28" s="38"/>
      <x:c r="I28" s="38"/>
      <x:c r="J28" s="37"/>
      <x:c r="K28" s="38"/>
      <x:c r="L28" s="38"/>
      <x:c r="M28" s="38"/>
      <x:c r="N28" s="38"/>
      <x:c r="O28" s="38"/>
      <x:c r="P28" s="38"/>
      <x:c r="Q28" s="38"/>
      <x:c r="R28" s="42" t="str">
        <x:f>IF(A28="","",IF(A28="跳过","跳过",IF(OR(B28="",C28="",D28="",E28="",F28="",G28="",LEN(J28)=0),"缺少必填项",IF(COUNTIF($B$5:$B$64,B28)&gt;1,"站点ID重复",IF(AND(A28="克隆",P28=""),"缺少源站点ID","通过")))))</x:f>
      </x:c>
    </x:row>
    <x:row r="29">
      <x:c r="A29" s="37"/>
      <x:c r="B29" s="37"/>
      <x:c r="C29" s="37"/>
      <x:c r="D29" s="37"/>
      <x:c r="E29" s="37"/>
      <x:c r="F29" s="37"/>
      <x:c r="G29" s="37"/>
      <x:c r="H29" s="38"/>
      <x:c r="I29" s="38"/>
      <x:c r="J29" s="37"/>
      <x:c r="K29" s="38"/>
      <x:c r="L29" s="38"/>
      <x:c r="M29" s="38"/>
      <x:c r="N29" s="38"/>
      <x:c r="O29" s="38"/>
      <x:c r="P29" s="38"/>
      <x:c r="Q29" s="38"/>
      <x:c r="R29" s="42" t="str">
        <x:f>IF(A29="","",IF(A29="跳过","跳过",IF(OR(B29="",C29="",D29="",E29="",F29="",G29="",LEN(J29)=0),"缺少必填项",IF(COUNTIF($B$5:$B$64,B29)&gt;1,"站点ID重复",IF(AND(A29="克隆",P29=""),"缺少源站点ID","通过")))))</x:f>
      </x:c>
    </x:row>
    <x:row r="30">
      <x:c r="A30" s="37"/>
      <x:c r="B30" s="37"/>
      <x:c r="C30" s="37"/>
      <x:c r="D30" s="37"/>
      <x:c r="E30" s="37"/>
      <x:c r="F30" s="37"/>
      <x:c r="G30" s="37"/>
      <x:c r="H30" s="38"/>
      <x:c r="I30" s="38"/>
      <x:c r="J30" s="37"/>
      <x:c r="K30" s="38"/>
      <x:c r="L30" s="38"/>
      <x:c r="M30" s="38"/>
      <x:c r="N30" s="38"/>
      <x:c r="O30" s="38"/>
      <x:c r="P30" s="38"/>
      <x:c r="Q30" s="38"/>
      <x:c r="R30" s="42" t="str">
        <x:f>IF(A30="","",IF(A30="跳过","跳过",IF(OR(B30="",C30="",D30="",E30="",F30="",G30="",LEN(J30)=0),"缺少必填项",IF(COUNTIF($B$5:$B$64,B30)&gt;1,"站点ID重复",IF(AND(A30="克隆",P30=""),"缺少源站点ID","通过")))))</x:f>
      </x:c>
    </x:row>
    <x:row r="31">
      <x:c r="A31" s="37"/>
      <x:c r="B31" s="37"/>
      <x:c r="C31" s="37"/>
      <x:c r="D31" s="37"/>
      <x:c r="E31" s="37"/>
      <x:c r="F31" s="37"/>
      <x:c r="G31" s="37"/>
      <x:c r="H31" s="38"/>
      <x:c r="I31" s="38"/>
      <x:c r="J31" s="37"/>
      <x:c r="K31" s="38"/>
      <x:c r="L31" s="38"/>
      <x:c r="M31" s="38"/>
      <x:c r="N31" s="38"/>
      <x:c r="O31" s="38"/>
      <x:c r="P31" s="38"/>
      <x:c r="Q31" s="38"/>
      <x:c r="R31" s="42" t="str">
        <x:f>IF(A31="","",IF(A31="跳过","跳过",IF(OR(B31="",C31="",D31="",E31="",F31="",G31="",LEN(J31)=0),"缺少必填项",IF(COUNTIF($B$5:$B$64,B31)&gt;1,"站点ID重复",IF(AND(A31="克隆",P31=""),"缺少源站点ID","通过")))))</x:f>
      </x:c>
    </x:row>
    <x:row r="32">
      <x:c r="A32" s="37"/>
      <x:c r="B32" s="37"/>
      <x:c r="C32" s="37"/>
      <x:c r="D32" s="37"/>
      <x:c r="E32" s="37"/>
      <x:c r="F32" s="37"/>
      <x:c r="G32" s="37"/>
      <x:c r="H32" s="38"/>
      <x:c r="I32" s="38"/>
      <x:c r="J32" s="37"/>
      <x:c r="K32" s="38"/>
      <x:c r="L32" s="38"/>
      <x:c r="M32" s="38"/>
      <x:c r="N32" s="38"/>
      <x:c r="O32" s="38"/>
      <x:c r="P32" s="38"/>
      <x:c r="Q32" s="38"/>
      <x:c r="R32" s="42" t="str">
        <x:f>IF(A32="","",IF(A32="跳过","跳过",IF(OR(B32="",C32="",D32="",E32="",F32="",G32="",LEN(J32)=0),"缺少必填项",IF(COUNTIF($B$5:$B$64,B32)&gt;1,"站点ID重复",IF(AND(A32="克隆",P32=""),"缺少源站点ID","通过")))))</x:f>
      </x:c>
    </x:row>
    <x:row r="33">
      <x:c r="A33" s="37"/>
      <x:c r="B33" s="37"/>
      <x:c r="C33" s="37"/>
      <x:c r="D33" s="37"/>
      <x:c r="E33" s="37"/>
      <x:c r="F33" s="37"/>
      <x:c r="G33" s="37"/>
      <x:c r="H33" s="38"/>
      <x:c r="I33" s="38"/>
      <x:c r="J33" s="37"/>
      <x:c r="K33" s="38"/>
      <x:c r="L33" s="38"/>
      <x:c r="M33" s="38"/>
      <x:c r="N33" s="38"/>
      <x:c r="O33" s="38"/>
      <x:c r="P33" s="38"/>
      <x:c r="Q33" s="38"/>
      <x:c r="R33" s="42" t="str">
        <x:f>IF(A33="","",IF(A33="跳过","跳过",IF(OR(B33="",C33="",D33="",E33="",F33="",G33="",LEN(J33)=0),"缺少必填项",IF(COUNTIF($B$5:$B$64,B33)&gt;1,"站点ID重复",IF(AND(A33="克隆",P33=""),"缺少源站点ID","通过")))))</x:f>
      </x:c>
    </x:row>
    <x:row r="34">
      <x:c r="A34" s="37"/>
      <x:c r="B34" s="37"/>
      <x:c r="C34" s="37"/>
      <x:c r="D34" s="37"/>
      <x:c r="E34" s="37"/>
      <x:c r="F34" s="37"/>
      <x:c r="G34" s="37"/>
      <x:c r="H34" s="38"/>
      <x:c r="I34" s="38"/>
      <x:c r="J34" s="37"/>
      <x:c r="K34" s="38"/>
      <x:c r="L34" s="38"/>
      <x:c r="M34" s="38"/>
      <x:c r="N34" s="38"/>
      <x:c r="O34" s="38"/>
      <x:c r="P34" s="38"/>
      <x:c r="Q34" s="38"/>
      <x:c r="R34" s="42" t="str">
        <x:f>IF(A34="","",IF(A34="跳过","跳过",IF(OR(B34="",C34="",D34="",E34="",F34="",G34="",LEN(J34)=0),"缺少必填项",IF(COUNTIF($B$5:$B$64,B34)&gt;1,"站点ID重复",IF(AND(A34="克隆",P34=""),"缺少源站点ID","通过")))))</x:f>
      </x:c>
    </x:row>
    <x:row r="35">
      <x:c r="A35" s="37"/>
      <x:c r="B35" s="37"/>
      <x:c r="C35" s="37"/>
      <x:c r="D35" s="37"/>
      <x:c r="E35" s="37"/>
      <x:c r="F35" s="37"/>
      <x:c r="G35" s="37"/>
      <x:c r="H35" s="38"/>
      <x:c r="I35" s="38"/>
      <x:c r="J35" s="37"/>
      <x:c r="K35" s="38"/>
      <x:c r="L35" s="38"/>
      <x:c r="M35" s="38"/>
      <x:c r="N35" s="38"/>
      <x:c r="O35" s="38"/>
      <x:c r="P35" s="38"/>
      <x:c r="Q35" s="38"/>
      <x:c r="R35" s="42" t="str">
        <x:f>IF(A35="","",IF(A35="跳过","跳过",IF(OR(B35="",C35="",D35="",E35="",F35="",G35="",LEN(J35)=0),"缺少必填项",IF(COUNTIF($B$5:$B$64,B35)&gt;1,"站点ID重复",IF(AND(A35="克隆",P35=""),"缺少源站点ID","通过")))))</x:f>
      </x:c>
    </x:row>
    <x:row r="36">
      <x:c r="A36" s="37"/>
      <x:c r="B36" s="37"/>
      <x:c r="C36" s="37"/>
      <x:c r="D36" s="37"/>
      <x:c r="E36" s="37"/>
      <x:c r="F36" s="37"/>
      <x:c r="G36" s="37"/>
      <x:c r="H36" s="38"/>
      <x:c r="I36" s="38"/>
      <x:c r="J36" s="37"/>
      <x:c r="K36" s="38"/>
      <x:c r="L36" s="38"/>
      <x:c r="M36" s="38"/>
      <x:c r="N36" s="38"/>
      <x:c r="O36" s="38"/>
      <x:c r="P36" s="38"/>
      <x:c r="Q36" s="38"/>
      <x:c r="R36" s="42" t="str">
        <x:f>IF(A36="","",IF(A36="跳过","跳过",IF(OR(B36="",C36="",D36="",E36="",F36="",G36="",LEN(J36)=0),"缺少必填项",IF(COUNTIF($B$5:$B$64,B36)&gt;1,"站点ID重复",IF(AND(A36="克隆",P36=""),"缺少源站点ID","通过")))))</x:f>
      </x:c>
    </x:row>
    <x:row r="37">
      <x:c r="A37" s="37"/>
      <x:c r="B37" s="37"/>
      <x:c r="C37" s="37"/>
      <x:c r="D37" s="37"/>
      <x:c r="E37" s="37"/>
      <x:c r="F37" s="37"/>
      <x:c r="G37" s="37"/>
      <x:c r="H37" s="38"/>
      <x:c r="I37" s="38"/>
      <x:c r="J37" s="37"/>
      <x:c r="K37" s="38"/>
      <x:c r="L37" s="38"/>
      <x:c r="M37" s="38"/>
      <x:c r="N37" s="38"/>
      <x:c r="O37" s="38"/>
      <x:c r="P37" s="38"/>
      <x:c r="Q37" s="38"/>
      <x:c r="R37" s="42" t="str">
        <x:f>IF(A37="","",IF(A37="跳过","跳过",IF(OR(B37="",C37="",D37="",E37="",F37="",G37="",LEN(J37)=0),"缺少必填项",IF(COUNTIF($B$5:$B$64,B37)&gt;1,"站点ID重复",IF(AND(A37="克隆",P37=""),"缺少源站点ID","通过")))))</x:f>
      </x:c>
    </x:row>
    <x:row r="38">
      <x:c r="A38" s="37"/>
      <x:c r="B38" s="37"/>
      <x:c r="C38" s="37"/>
      <x:c r="D38" s="37"/>
      <x:c r="E38" s="37"/>
      <x:c r="F38" s="37"/>
      <x:c r="G38" s="37"/>
      <x:c r="H38" s="38"/>
      <x:c r="I38" s="38"/>
      <x:c r="J38" s="37"/>
      <x:c r="K38" s="38"/>
      <x:c r="L38" s="38"/>
      <x:c r="M38" s="38"/>
      <x:c r="N38" s="38"/>
      <x:c r="O38" s="38"/>
      <x:c r="P38" s="38"/>
      <x:c r="Q38" s="38"/>
      <x:c r="R38" s="42" t="str">
        <x:f>IF(A38="","",IF(A38="跳过","跳过",IF(OR(B38="",C38="",D38="",E38="",F38="",G38="",LEN(J38)=0),"缺少必填项",IF(COUNTIF($B$5:$B$64,B38)&gt;1,"站点ID重复",IF(AND(A38="克隆",P38=""),"缺少源站点ID","通过")))))</x:f>
      </x:c>
    </x:row>
    <x:row r="39">
      <x:c r="A39" s="37"/>
      <x:c r="B39" s="37"/>
      <x:c r="C39" s="37"/>
      <x:c r="D39" s="37"/>
      <x:c r="E39" s="37"/>
      <x:c r="F39" s="37"/>
      <x:c r="G39" s="37"/>
      <x:c r="H39" s="38"/>
      <x:c r="I39" s="38"/>
      <x:c r="J39" s="37"/>
      <x:c r="K39" s="38"/>
      <x:c r="L39" s="38"/>
      <x:c r="M39" s="38"/>
      <x:c r="N39" s="38"/>
      <x:c r="O39" s="38"/>
      <x:c r="P39" s="38"/>
      <x:c r="Q39" s="38"/>
      <x:c r="R39" s="42" t="str">
        <x:f>IF(A39="","",IF(A39="跳过","跳过",IF(OR(B39="",C39="",D39="",E39="",F39="",G39="",LEN(J39)=0),"缺少必填项",IF(COUNTIF($B$5:$B$64,B39)&gt;1,"站点ID重复",IF(AND(A39="克隆",P39=""),"缺少源站点ID","通过")))))</x:f>
      </x:c>
    </x:row>
    <x:row r="40">
      <x:c r="A40" s="37"/>
      <x:c r="B40" s="37"/>
      <x:c r="C40" s="37"/>
      <x:c r="D40" s="37"/>
      <x:c r="E40" s="37"/>
      <x:c r="F40" s="37"/>
      <x:c r="G40" s="37"/>
      <x:c r="H40" s="38"/>
      <x:c r="I40" s="38"/>
      <x:c r="J40" s="37"/>
      <x:c r="K40" s="38"/>
      <x:c r="L40" s="38"/>
      <x:c r="M40" s="38"/>
      <x:c r="N40" s="38"/>
      <x:c r="O40" s="38"/>
      <x:c r="P40" s="38"/>
      <x:c r="Q40" s="38"/>
      <x:c r="R40" s="42" t="str">
        <x:f>IF(A40="","",IF(A40="跳过","跳过",IF(OR(B40="",C40="",D40="",E40="",F40="",G40="",LEN(J40)=0),"缺少必填项",IF(COUNTIF($B$5:$B$64,B40)&gt;1,"站点ID重复",IF(AND(A40="克隆",P40=""),"缺少源站点ID","通过")))))</x:f>
      </x:c>
    </x:row>
    <x:row r="41">
      <x:c r="A41" s="37"/>
      <x:c r="B41" s="37"/>
      <x:c r="C41" s="37"/>
      <x:c r="D41" s="37"/>
      <x:c r="E41" s="37"/>
      <x:c r="F41" s="37"/>
      <x:c r="G41" s="37"/>
      <x:c r="H41" s="38"/>
      <x:c r="I41" s="38"/>
      <x:c r="J41" s="37"/>
      <x:c r="K41" s="38"/>
      <x:c r="L41" s="38"/>
      <x:c r="M41" s="38"/>
      <x:c r="N41" s="38"/>
      <x:c r="O41" s="38"/>
      <x:c r="P41" s="38"/>
      <x:c r="Q41" s="38"/>
      <x:c r="R41" s="42" t="str">
        <x:f>IF(A41="","",IF(A41="跳过","跳过",IF(OR(B41="",C41="",D41="",E41="",F41="",G41="",LEN(J41)=0),"缺少必填项",IF(COUNTIF($B$5:$B$64,B41)&gt;1,"站点ID重复",IF(AND(A41="克隆",P41=""),"缺少源站点ID","通过")))))</x:f>
      </x:c>
    </x:row>
    <x:row r="42">
      <x:c r="A42" s="37"/>
      <x:c r="B42" s="37"/>
      <x:c r="C42" s="37"/>
      <x:c r="D42" s="37"/>
      <x:c r="E42" s="37"/>
      <x:c r="F42" s="37"/>
      <x:c r="G42" s="37"/>
      <x:c r="H42" s="38"/>
      <x:c r="I42" s="38"/>
      <x:c r="J42" s="37"/>
      <x:c r="K42" s="38"/>
      <x:c r="L42" s="38"/>
      <x:c r="M42" s="38"/>
      <x:c r="N42" s="38"/>
      <x:c r="O42" s="38"/>
      <x:c r="P42" s="38"/>
      <x:c r="Q42" s="38"/>
      <x:c r="R42" s="42" t="str">
        <x:f>IF(A42="","",IF(A42="跳过","跳过",IF(OR(B42="",C42="",D42="",E42="",F42="",G42="",LEN(J42)=0),"缺少必填项",IF(COUNTIF($B$5:$B$64,B42)&gt;1,"站点ID重复",IF(AND(A42="克隆",P42=""),"缺少源站点ID","通过")))))</x:f>
      </x:c>
    </x:row>
    <x:row r="43">
      <x:c r="A43" s="37"/>
      <x:c r="B43" s="37"/>
      <x:c r="C43" s="37"/>
      <x:c r="D43" s="37"/>
      <x:c r="E43" s="37"/>
      <x:c r="F43" s="37"/>
      <x:c r="G43" s="37"/>
      <x:c r="H43" s="38"/>
      <x:c r="I43" s="38"/>
      <x:c r="J43" s="37"/>
      <x:c r="K43" s="38"/>
      <x:c r="L43" s="38"/>
      <x:c r="M43" s="38"/>
      <x:c r="N43" s="38"/>
      <x:c r="O43" s="38"/>
      <x:c r="P43" s="38"/>
      <x:c r="Q43" s="38"/>
      <x:c r="R43" s="42" t="str">
        <x:f>IF(A43="","",IF(A43="跳过","跳过",IF(OR(B43="",C43="",D43="",E43="",F43="",G43="",LEN(J43)=0),"缺少必填项",IF(COUNTIF($B$5:$B$64,B43)&gt;1,"站点ID重复",IF(AND(A43="克隆",P43=""),"缺少源站点ID","通过")))))</x:f>
      </x:c>
    </x:row>
    <x:row r="44">
      <x:c r="A44" s="37"/>
      <x:c r="B44" s="37"/>
      <x:c r="C44" s="37"/>
      <x:c r="D44" s="37"/>
      <x:c r="E44" s="37"/>
      <x:c r="F44" s="37"/>
      <x:c r="G44" s="37"/>
      <x:c r="H44" s="38"/>
      <x:c r="I44" s="38"/>
      <x:c r="J44" s="37"/>
      <x:c r="K44" s="38"/>
      <x:c r="L44" s="38"/>
      <x:c r="M44" s="38"/>
      <x:c r="N44" s="38"/>
      <x:c r="O44" s="38"/>
      <x:c r="P44" s="38"/>
      <x:c r="Q44" s="38"/>
      <x:c r="R44" s="42" t="str">
        <x:f>IF(A44="","",IF(A44="跳过","跳过",IF(OR(B44="",C44="",D44="",E44="",F44="",G44="",LEN(J44)=0),"缺少必填项",IF(COUNTIF($B$5:$B$64,B44)&gt;1,"站点ID重复",IF(AND(A44="克隆",P44=""),"缺少源站点ID","通过")))))</x:f>
      </x:c>
    </x:row>
    <x:row r="45">
      <x:c r="A45" s="37"/>
      <x:c r="B45" s="37"/>
      <x:c r="C45" s="37"/>
      <x:c r="D45" s="37"/>
      <x:c r="E45" s="37"/>
      <x:c r="F45" s="37"/>
      <x:c r="G45" s="37"/>
      <x:c r="H45" s="38"/>
      <x:c r="I45" s="38"/>
      <x:c r="J45" s="37"/>
      <x:c r="K45" s="38"/>
      <x:c r="L45" s="38"/>
      <x:c r="M45" s="38"/>
      <x:c r="N45" s="38"/>
      <x:c r="O45" s="38"/>
      <x:c r="P45" s="38"/>
      <x:c r="Q45" s="38"/>
      <x:c r="R45" s="42" t="str">
        <x:f>IF(A45="","",IF(A45="跳过","跳过",IF(OR(B45="",C45="",D45="",E45="",F45="",G45="",LEN(J45)=0),"缺少必填项",IF(COUNTIF($B$5:$B$64,B45)&gt;1,"站点ID重复",IF(AND(A45="克隆",P45=""),"缺少源站点ID","通过")))))</x:f>
      </x:c>
    </x:row>
    <x:row r="46">
      <x:c r="A46" s="37"/>
      <x:c r="B46" s="37"/>
      <x:c r="C46" s="37"/>
      <x:c r="D46" s="37"/>
      <x:c r="E46" s="37"/>
      <x:c r="F46" s="37"/>
      <x:c r="G46" s="37"/>
      <x:c r="H46" s="38"/>
      <x:c r="I46" s="38"/>
      <x:c r="J46" s="37"/>
      <x:c r="K46" s="38"/>
      <x:c r="L46" s="38"/>
      <x:c r="M46" s="38"/>
      <x:c r="N46" s="38"/>
      <x:c r="O46" s="38"/>
      <x:c r="P46" s="38"/>
      <x:c r="Q46" s="38"/>
      <x:c r="R46" s="42" t="str">
        <x:f>IF(A46="","",IF(A46="跳过","跳过",IF(OR(B46="",C46="",D46="",E46="",F46="",G46="",LEN(J46)=0),"缺少必填项",IF(COUNTIF($B$5:$B$64,B46)&gt;1,"站点ID重复",IF(AND(A46="克隆",P46=""),"缺少源站点ID","通过")))))</x:f>
      </x:c>
    </x:row>
    <x:row r="47">
      <x:c r="A47" s="37"/>
      <x:c r="B47" s="37"/>
      <x:c r="C47" s="37"/>
      <x:c r="D47" s="37"/>
      <x:c r="E47" s="37"/>
      <x:c r="F47" s="37"/>
      <x:c r="G47" s="37"/>
      <x:c r="H47" s="38"/>
      <x:c r="I47" s="38"/>
      <x:c r="J47" s="37"/>
      <x:c r="K47" s="38"/>
      <x:c r="L47" s="38"/>
      <x:c r="M47" s="38"/>
      <x:c r="N47" s="38"/>
      <x:c r="O47" s="38"/>
      <x:c r="P47" s="38"/>
      <x:c r="Q47" s="38"/>
      <x:c r="R47" s="42" t="str">
        <x:f>IF(A47="","",IF(A47="跳过","跳过",IF(OR(B47="",C47="",D47="",E47="",F47="",G47="",LEN(J47)=0),"缺少必填项",IF(COUNTIF($B$5:$B$64,B47)&gt;1,"站点ID重复",IF(AND(A47="克隆",P47=""),"缺少源站点ID","通过")))))</x:f>
      </x:c>
    </x:row>
    <x:row r="48">
      <x:c r="A48" s="37"/>
      <x:c r="B48" s="37"/>
      <x:c r="C48" s="37"/>
      <x:c r="D48" s="37"/>
      <x:c r="E48" s="37"/>
      <x:c r="F48" s="37"/>
      <x:c r="G48" s="37"/>
      <x:c r="H48" s="38"/>
      <x:c r="I48" s="38"/>
      <x:c r="J48" s="37"/>
      <x:c r="K48" s="38"/>
      <x:c r="L48" s="38"/>
      <x:c r="M48" s="38"/>
      <x:c r="N48" s="38"/>
      <x:c r="O48" s="38"/>
      <x:c r="P48" s="38"/>
      <x:c r="Q48" s="38"/>
      <x:c r="R48" s="42" t="str">
        <x:f>IF(A48="","",IF(A48="跳过","跳过",IF(OR(B48="",C48="",D48="",E48="",F48="",G48="",LEN(J48)=0),"缺少必填项",IF(COUNTIF($B$5:$B$64,B48)&gt;1,"站点ID重复",IF(AND(A48="克隆",P48=""),"缺少源站点ID","通过")))))</x:f>
      </x:c>
    </x:row>
    <x:row r="49">
      <x:c r="A49" s="37"/>
      <x:c r="B49" s="37"/>
      <x:c r="C49" s="37"/>
      <x:c r="D49" s="37"/>
      <x:c r="E49" s="37"/>
      <x:c r="F49" s="37"/>
      <x:c r="G49" s="37"/>
      <x:c r="H49" s="38"/>
      <x:c r="I49" s="38"/>
      <x:c r="J49" s="37"/>
      <x:c r="K49" s="38"/>
      <x:c r="L49" s="38"/>
      <x:c r="M49" s="38"/>
      <x:c r="N49" s="38"/>
      <x:c r="O49" s="38"/>
      <x:c r="P49" s="38"/>
      <x:c r="Q49" s="38"/>
      <x:c r="R49" s="42" t="str">
        <x:f>IF(A49="","",IF(A49="跳过","跳过",IF(OR(B49="",C49="",D49="",E49="",F49="",G49="",LEN(J49)=0),"缺少必填项",IF(COUNTIF($B$5:$B$64,B49)&gt;1,"站点ID重复",IF(AND(A49="克隆",P49=""),"缺少源站点ID","通过")))))</x:f>
      </x:c>
    </x:row>
    <x:row r="50">
      <x:c r="A50" s="37"/>
      <x:c r="B50" s="37"/>
      <x:c r="C50" s="37"/>
      <x:c r="D50" s="37"/>
      <x:c r="E50" s="37"/>
      <x:c r="F50" s="37"/>
      <x:c r="G50" s="37"/>
      <x:c r="H50" s="38"/>
      <x:c r="I50" s="38"/>
      <x:c r="J50" s="37"/>
      <x:c r="K50" s="38"/>
      <x:c r="L50" s="38"/>
      <x:c r="M50" s="38"/>
      <x:c r="N50" s="38"/>
      <x:c r="O50" s="38"/>
      <x:c r="P50" s="38"/>
      <x:c r="Q50" s="38"/>
      <x:c r="R50" s="42" t="str">
        <x:f>IF(A50="","",IF(A50="跳过","跳过",IF(OR(B50="",C50="",D50="",E50="",F50="",G50="",LEN(J50)=0),"缺少必填项",IF(COUNTIF($B$5:$B$64,B50)&gt;1,"站点ID重复",IF(AND(A50="克隆",P50=""),"缺少源站点ID","通过")))))</x:f>
      </x:c>
    </x:row>
    <x:row r="51">
      <x:c r="A51" s="37"/>
      <x:c r="B51" s="37"/>
      <x:c r="C51" s="37"/>
      <x:c r="D51" s="37"/>
      <x:c r="E51" s="37"/>
      <x:c r="F51" s="37"/>
      <x:c r="G51" s="37"/>
      <x:c r="H51" s="38"/>
      <x:c r="I51" s="38"/>
      <x:c r="J51" s="37"/>
      <x:c r="K51" s="38"/>
      <x:c r="L51" s="38"/>
      <x:c r="M51" s="38"/>
      <x:c r="N51" s="38"/>
      <x:c r="O51" s="38"/>
      <x:c r="P51" s="38"/>
      <x:c r="Q51" s="38"/>
      <x:c r="R51" s="42" t="str">
        <x:f>IF(A51="","",IF(A51="跳过","跳过",IF(OR(B51="",C51="",D51="",E51="",F51="",G51="",LEN(J51)=0),"缺少必填项",IF(COUNTIF($B$5:$B$64,B51)&gt;1,"站点ID重复",IF(AND(A51="克隆",P51=""),"缺少源站点ID","通过")))))</x:f>
      </x:c>
    </x:row>
    <x:row r="52">
      <x:c r="A52" s="37"/>
      <x:c r="B52" s="37"/>
      <x:c r="C52" s="37"/>
      <x:c r="D52" s="37"/>
      <x:c r="E52" s="37"/>
      <x:c r="F52" s="37"/>
      <x:c r="G52" s="37"/>
      <x:c r="H52" s="38"/>
      <x:c r="I52" s="38"/>
      <x:c r="J52" s="37"/>
      <x:c r="K52" s="38"/>
      <x:c r="L52" s="38"/>
      <x:c r="M52" s="38"/>
      <x:c r="N52" s="38"/>
      <x:c r="O52" s="38"/>
      <x:c r="P52" s="38"/>
      <x:c r="Q52" s="38"/>
      <x:c r="R52" s="42" t="str">
        <x:f>IF(A52="","",IF(A52="跳过","跳过",IF(OR(B52="",C52="",D52="",E52="",F52="",G52="",LEN(J52)=0),"缺少必填项",IF(COUNTIF($B$5:$B$64,B52)&gt;1,"站点ID重复",IF(AND(A52="克隆",P52=""),"缺少源站点ID","通过")))))</x:f>
      </x:c>
    </x:row>
    <x:row r="53">
      <x:c r="A53" s="37"/>
      <x:c r="B53" s="37"/>
      <x:c r="C53" s="37"/>
      <x:c r="D53" s="37"/>
      <x:c r="E53" s="37"/>
      <x:c r="F53" s="37"/>
      <x:c r="G53" s="37"/>
      <x:c r="H53" s="38"/>
      <x:c r="I53" s="38"/>
      <x:c r="J53" s="37"/>
      <x:c r="K53" s="38"/>
      <x:c r="L53" s="38"/>
      <x:c r="M53" s="38"/>
      <x:c r="N53" s="38"/>
      <x:c r="O53" s="38"/>
      <x:c r="P53" s="38"/>
      <x:c r="Q53" s="38"/>
      <x:c r="R53" s="42" t="str">
        <x:f>IF(A53="","",IF(A53="跳过","跳过",IF(OR(B53="",C53="",D53="",E53="",F53="",G53="",LEN(J53)=0),"缺少必填项",IF(COUNTIF($B$5:$B$64,B53)&gt;1,"站点ID重复",IF(AND(A53="克隆",P53=""),"缺少源站点ID","通过")))))</x:f>
      </x:c>
    </x:row>
    <x:row r="54">
      <x:c r="A54" s="37"/>
      <x:c r="B54" s="37"/>
      <x:c r="C54" s="37"/>
      <x:c r="D54" s="37"/>
      <x:c r="E54" s="37"/>
      <x:c r="F54" s="37"/>
      <x:c r="G54" s="37"/>
      <x:c r="H54" s="38"/>
      <x:c r="I54" s="38"/>
      <x:c r="J54" s="37"/>
      <x:c r="K54" s="38"/>
      <x:c r="L54" s="38"/>
      <x:c r="M54" s="38"/>
      <x:c r="N54" s="38"/>
      <x:c r="O54" s="38"/>
      <x:c r="P54" s="38"/>
      <x:c r="Q54" s="38"/>
      <x:c r="R54" s="42" t="str">
        <x:f>IF(A54="","",IF(A54="跳过","跳过",IF(OR(B54="",C54="",D54="",E54="",F54="",G54="",LEN(J54)=0),"缺少必填项",IF(COUNTIF($B$5:$B$64,B54)&gt;1,"站点ID重复",IF(AND(A54="克隆",P54=""),"缺少源站点ID","通过")))))</x:f>
      </x:c>
    </x:row>
    <x:row r="55">
      <x:c r="A55" s="37"/>
      <x:c r="B55" s="37"/>
      <x:c r="C55" s="37"/>
      <x:c r="D55" s="37"/>
      <x:c r="E55" s="37"/>
      <x:c r="F55" s="37"/>
      <x:c r="G55" s="37"/>
      <x:c r="H55" s="38"/>
      <x:c r="I55" s="38"/>
      <x:c r="J55" s="37"/>
      <x:c r="K55" s="38"/>
      <x:c r="L55" s="38"/>
      <x:c r="M55" s="38"/>
      <x:c r="N55" s="38"/>
      <x:c r="O55" s="38"/>
      <x:c r="P55" s="38"/>
      <x:c r="Q55" s="38"/>
      <x:c r="R55" s="42" t="str">
        <x:f>IF(A55="","",IF(A55="跳过","跳过",IF(OR(B55="",C55="",D55="",E55="",F55="",G55="",LEN(J55)=0),"缺少必填项",IF(COUNTIF($B$5:$B$64,B55)&gt;1,"站点ID重复",IF(AND(A55="克隆",P55=""),"缺少源站点ID","通过")))))</x:f>
      </x:c>
    </x:row>
    <x:row r="56">
      <x:c r="A56" s="37"/>
      <x:c r="B56" s="37"/>
      <x:c r="C56" s="37"/>
      <x:c r="D56" s="37"/>
      <x:c r="E56" s="37"/>
      <x:c r="F56" s="37"/>
      <x:c r="G56" s="37"/>
      <x:c r="H56" s="38"/>
      <x:c r="I56" s="38"/>
      <x:c r="J56" s="37"/>
      <x:c r="K56" s="38"/>
      <x:c r="L56" s="38"/>
      <x:c r="M56" s="38"/>
      <x:c r="N56" s="38"/>
      <x:c r="O56" s="38"/>
      <x:c r="P56" s="38"/>
      <x:c r="Q56" s="38"/>
      <x:c r="R56" s="42" t="str">
        <x:f>IF(A56="","",IF(A56="跳过","跳过",IF(OR(B56="",C56="",D56="",E56="",F56="",G56="",LEN(J56)=0),"缺少必填项",IF(COUNTIF($B$5:$B$64,B56)&gt;1,"站点ID重复",IF(AND(A56="克隆",P56=""),"缺少源站点ID","通过")))))</x:f>
      </x:c>
    </x:row>
    <x:row r="57">
      <x:c r="A57" s="37"/>
      <x:c r="B57" s="37"/>
      <x:c r="C57" s="37"/>
      <x:c r="D57" s="37"/>
      <x:c r="E57" s="37"/>
      <x:c r="F57" s="37"/>
      <x:c r="G57" s="37"/>
      <x:c r="H57" s="38"/>
      <x:c r="I57" s="38"/>
      <x:c r="J57" s="37"/>
      <x:c r="K57" s="38"/>
      <x:c r="L57" s="38"/>
      <x:c r="M57" s="38"/>
      <x:c r="N57" s="38"/>
      <x:c r="O57" s="38"/>
      <x:c r="P57" s="38"/>
      <x:c r="Q57" s="38"/>
      <x:c r="R57" s="42" t="str">
        <x:f>IF(A57="","",IF(A57="跳过","跳过",IF(OR(B57="",C57="",D57="",E57="",F57="",G57="",LEN(J57)=0),"缺少必填项",IF(COUNTIF($B$5:$B$64,B57)&gt;1,"站点ID重复",IF(AND(A57="克隆",P57=""),"缺少源站点ID","通过")))))</x:f>
      </x:c>
    </x:row>
    <x:row r="58">
      <x:c r="A58" s="37"/>
      <x:c r="B58" s="37"/>
      <x:c r="C58" s="37"/>
      <x:c r="D58" s="37"/>
      <x:c r="E58" s="37"/>
      <x:c r="F58" s="37"/>
      <x:c r="G58" s="37"/>
      <x:c r="H58" s="38"/>
      <x:c r="I58" s="38"/>
      <x:c r="J58" s="37"/>
      <x:c r="K58" s="38"/>
      <x:c r="L58" s="38"/>
      <x:c r="M58" s="38"/>
      <x:c r="N58" s="38"/>
      <x:c r="O58" s="38"/>
      <x:c r="P58" s="38"/>
      <x:c r="Q58" s="38"/>
      <x:c r="R58" s="42" t="str">
        <x:f>IF(A58="","",IF(A58="跳过","跳过",IF(OR(B58="",C58="",D58="",E58="",F58="",G58="",LEN(J58)=0),"缺少必填项",IF(COUNTIF($B$5:$B$64,B58)&gt;1,"站点ID重复",IF(AND(A58="克隆",P58=""),"缺少源站点ID","通过")))))</x:f>
      </x:c>
    </x:row>
    <x:row r="59">
      <x:c r="A59" s="37"/>
      <x:c r="B59" s="37"/>
      <x:c r="C59" s="37"/>
      <x:c r="D59" s="37"/>
      <x:c r="E59" s="37"/>
      <x:c r="F59" s="37"/>
      <x:c r="G59" s="37"/>
      <x:c r="H59" s="38"/>
      <x:c r="I59" s="38"/>
      <x:c r="J59" s="37"/>
      <x:c r="K59" s="38"/>
      <x:c r="L59" s="38"/>
      <x:c r="M59" s="38"/>
      <x:c r="N59" s="38"/>
      <x:c r="O59" s="38"/>
      <x:c r="P59" s="38"/>
      <x:c r="Q59" s="38"/>
      <x:c r="R59" s="42" t="str">
        <x:f>IF(A59="","",IF(A59="跳过","跳过",IF(OR(B59="",C59="",D59="",E59="",F59="",G59="",LEN(J59)=0),"缺少必填项",IF(COUNTIF($B$5:$B$64,B59)&gt;1,"站点ID重复",IF(AND(A59="克隆",P59=""),"缺少源站点ID","通过")))))</x:f>
      </x:c>
    </x:row>
    <x:row r="60">
      <x:c r="A60" s="37"/>
      <x:c r="B60" s="37"/>
      <x:c r="C60" s="37"/>
      <x:c r="D60" s="37"/>
      <x:c r="E60" s="37"/>
      <x:c r="F60" s="37"/>
      <x:c r="G60" s="37"/>
      <x:c r="H60" s="38"/>
      <x:c r="I60" s="38"/>
      <x:c r="J60" s="37"/>
      <x:c r="K60" s="38"/>
      <x:c r="L60" s="38"/>
      <x:c r="M60" s="38"/>
      <x:c r="N60" s="38"/>
      <x:c r="O60" s="38"/>
      <x:c r="P60" s="38"/>
      <x:c r="Q60" s="38"/>
      <x:c r="R60" s="42" t="str">
        <x:f>IF(A60="","",IF(A60="跳过","跳过",IF(OR(B60="",C60="",D60="",E60="",F60="",G60="",LEN(J60)=0),"缺少必填项",IF(COUNTIF($B$5:$B$64,B60)&gt;1,"站点ID重复",IF(AND(A60="克隆",P60=""),"缺少源站点ID","通过")))))</x:f>
      </x:c>
    </x:row>
    <x:row r="61">
      <x:c r="A61" s="37"/>
      <x:c r="B61" s="37"/>
      <x:c r="C61" s="37"/>
      <x:c r="D61" s="37"/>
      <x:c r="E61" s="37"/>
      <x:c r="F61" s="37"/>
      <x:c r="G61" s="37"/>
      <x:c r="H61" s="38"/>
      <x:c r="I61" s="38"/>
      <x:c r="J61" s="37"/>
      <x:c r="K61" s="38"/>
      <x:c r="L61" s="38"/>
      <x:c r="M61" s="38"/>
      <x:c r="N61" s="38"/>
      <x:c r="O61" s="38"/>
      <x:c r="P61" s="38"/>
      <x:c r="Q61" s="38"/>
      <x:c r="R61" s="42" t="str">
        <x:f>IF(A61="","",IF(A61="跳过","跳过",IF(OR(B61="",C61="",D61="",E61="",F61="",G61="",LEN(J61)=0),"缺少必填项",IF(COUNTIF($B$5:$B$64,B61)&gt;1,"站点ID重复",IF(AND(A61="克隆",P61=""),"缺少源站点ID","通过")))))</x:f>
      </x:c>
    </x:row>
    <x:row r="62">
      <x:c r="A62" s="37"/>
      <x:c r="B62" s="37"/>
      <x:c r="C62" s="37"/>
      <x:c r="D62" s="37"/>
      <x:c r="E62" s="37"/>
      <x:c r="F62" s="37"/>
      <x:c r="G62" s="37"/>
      <x:c r="H62" s="38"/>
      <x:c r="I62" s="38"/>
      <x:c r="J62" s="37"/>
      <x:c r="K62" s="38"/>
      <x:c r="L62" s="38"/>
      <x:c r="M62" s="38"/>
      <x:c r="N62" s="38"/>
      <x:c r="O62" s="38"/>
      <x:c r="P62" s="38"/>
      <x:c r="Q62" s="38"/>
      <x:c r="R62" s="42" t="str">
        <x:f>IF(A62="","",IF(A62="跳过","跳过",IF(OR(B62="",C62="",D62="",E62="",F62="",G62="",LEN(J62)=0),"缺少必填项",IF(COUNTIF($B$5:$B$64,B62)&gt;1,"站点ID重复",IF(AND(A62="克隆",P62=""),"缺少源站点ID","通过")))))</x:f>
      </x:c>
    </x:row>
    <x:row r="63">
      <x:c r="A63" s="37"/>
      <x:c r="B63" s="37"/>
      <x:c r="C63" s="37"/>
      <x:c r="D63" s="37"/>
      <x:c r="E63" s="37"/>
      <x:c r="F63" s="37"/>
      <x:c r="G63" s="37"/>
      <x:c r="H63" s="38"/>
      <x:c r="I63" s="38"/>
      <x:c r="J63" s="37"/>
      <x:c r="K63" s="38"/>
      <x:c r="L63" s="38"/>
      <x:c r="M63" s="38"/>
      <x:c r="N63" s="38"/>
      <x:c r="O63" s="38"/>
      <x:c r="P63" s="38"/>
      <x:c r="Q63" s="38"/>
      <x:c r="R63" s="42" t="str">
        <x:f>IF(A63="","",IF(A63="跳过","跳过",IF(OR(B63="",C63="",D63="",E63="",F63="",G63="",LEN(J63)=0),"缺少必填项",IF(COUNTIF($B$5:$B$64,B63)&gt;1,"站点ID重复",IF(AND(A63="克隆",P63=""),"缺少源站点ID","通过")))))</x:f>
      </x:c>
    </x:row>
    <x:row r="64">
      <x:c r="A64" s="39"/>
      <x:c r="B64" s="39"/>
      <x:c r="C64" s="39"/>
      <x:c r="D64" s="39"/>
      <x:c r="E64" s="39"/>
      <x:c r="F64" s="39"/>
      <x:c r="G64" s="39"/>
      <x:c r="H64" s="40"/>
      <x:c r="I64" s="40"/>
      <x:c r="J64" s="39"/>
      <x:c r="K64" s="40"/>
      <x:c r="L64" s="40"/>
      <x:c r="M64" s="40"/>
      <x:c r="N64" s="40"/>
      <x:c r="O64" s="40"/>
      <x:c r="P64" s="40"/>
      <x:c r="Q64" s="40"/>
      <x:c r="R64" s="43" t="str">
        <x:f>IF(A64="","",IF(A64="跳过","跳过",IF(OR(B64="",C64="",D64="",E64="",F64="",G64="",LEN(J64)=0),"缺少必填项",IF(COUNTIF($B$5:$B$64,B64)&gt;1,"站点ID重复",IF(AND(A64="克隆",P64=""),"缺少源站点ID","通过")))))</x:f>
      </x:c>
    </x:row>
  </x:sheetData>
  <x:mergeCells>
    <x:mergeCell ref="A1:R1"/>
    <x:mergeCell ref="A2:R2"/>
  </x:mergeCells>
  <x:conditionalFormatting sqref="R5:R64">
    <x:cfRule type="containsText" dxfId="0" priority="1" operator="containsText" text="通过"/>
    <x:cfRule type="containsText" dxfId="1" priority="2" operator="containsText" text="缺少"/>
    <x:cfRule type="containsText" dxfId="2" priority="3" operator="containsText" text="重复"/>
    <x:cfRule type="containsText" dxfId="3" priority="4" operator="containsText" text="不存在"/>
  </x:conditionalFormatting>
  <x:dataValidations count="4">
    <x:dataValidation type="list" sqref="A5:A64">
      <x:formula1>选项!$A$2:$A$6</x:formula1>
    </x:dataValidation>
    <x:dataValidation type="list" sqref="D5:D64">
      <x:formula1>选项!$B$2:$B$7</x:formula1>
    </x:dataValidation>
    <x:dataValidation type="list" sqref="E5:E64">
      <x:formula1>选项!$C$2:$C$8</x:formula1>
    </x:dataValidation>
    <x:dataValidation type="whole" operator="between" sqref="J5:J64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48958ac62c447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20" hidden="0" customWidth="1"/>
    <x:col min="7" max="7" width="16" hidden="0" customWidth="1"/>
    <x:col min="8" max="8" width="24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22" hidden="0" customWidth="1"/>
    <x:col min="17" max="17" width="28" hidden="0" customWidth="1"/>
    <x:col min="18" max="18" width="18" hidden="0" customWidth="1"/>
  </x:cols>
  <x:sheetData>
    <x:row r="1" ht="34" customHeight="1">
      <x:c r="A1" s="3" t="str">
        <x:v>硬件模块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6" t="str">
        <x:v>每个硬件模块一行。相同站点、机架、槽位、子槽位的组合必须唯一。电源模块也可列出，但无 I/O 地址时留空。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38" customHeight="1">
      <x:c r="A4" s="28" t="str">
        <x:v>操作*</x:v>
      </x:c>
      <x:c r="B4" s="29" t="str">
        <x:v>站点ID*</x:v>
      </x:c>
      <x:c r="C4" s="29" t="str">
        <x:v>机架号*</x:v>
      </x:c>
      <x:c r="D4" s="29" t="str">
        <x:v>槽位*</x:v>
      </x:c>
      <x:c r="E4" s="29" t="str">
        <x:v>子槽位</x:v>
      </x:c>
      <x:c r="F4" s="29" t="str">
        <x:v>模块名称*</x:v>
      </x:c>
      <x:c r="G4" s="29" t="str">
        <x:v>模块类型*</x:v>
      </x:c>
      <x:c r="H4" s="29" t="str">
        <x:v>订货号*</x:v>
      </x:c>
      <x:c r="I4" s="29" t="str">
        <x:v>固件版本</x:v>
      </x:c>
      <x:c r="J4" s="29" t="str">
        <x:v>父模块名称</x:v>
      </x:c>
      <x:c r="K4" s="29" t="str">
        <x:v>输入起始地址</x:v>
      </x:c>
      <x:c r="L4" s="29" t="str">
        <x:v>输入长度(Byte)</x:v>
      </x:c>
      <x:c r="M4" s="29" t="str">
        <x:v>输出起始地址</x:v>
      </x:c>
      <x:c r="N4" s="29" t="str">
        <x:v>输出长度(Byte)</x:v>
      </x:c>
      <x:c r="O4" s="29" t="str">
        <x:v>过程映像分区</x:v>
      </x:c>
      <x:c r="P4" s="29" t="str">
        <x:v>源模块名称(克隆时)</x:v>
      </x:c>
      <x:c r="Q4" s="29" t="str">
        <x:v>备注</x:v>
      </x:c>
      <x:c r="R4" s="30" t="str">
        <x:v>校验结果</x:v>
      </x:c>
    </x:row>
    <x:row r="5">
      <x:c r="A5" s="35" t="str">
        <x:v>新建</x:v>
      </x:c>
      <x:c r="B5" s="35" t="str">
        <x:v>PLC_01</x:v>
      </x:c>
      <x:c r="C5" s="35" t="n">
        <x:v>0</x:v>
      </x:c>
      <x:c r="D5" s="35" t="n">
        <x:v>1</x:v>
      </x:c>
      <x:c r="E5" s="36" t="n">
        <x:v>0</x:v>
      </x:c>
      <x:c r="F5" s="35" t="str">
        <x:v>CPU_1516</x:v>
      </x:c>
      <x:c r="G5" s="35" t="str">
        <x:v>CPU</x:v>
      </x:c>
      <x:c r="H5" s="35" t="str">
        <x:v>6ES7 516-3AN02-0AB0</x:v>
      </x:c>
      <x:c r="I5" s="36" t="str">
        <x:v>V3.1</x:v>
      </x:c>
      <x:c r="J5" s="36" t="str"/>
      <x:c r="K5" s="36" t="str"/>
      <x:c r="L5" s="36" t="str"/>
      <x:c r="M5" s="36" t="str"/>
      <x:c r="N5" s="36" t="str"/>
      <x:c r="O5" s="36" t="str"/>
      <x:c r="P5" s="36" t="str"/>
      <x:c r="Q5" s="36" t="str">
        <x:v>示例行，可直接覆盖</x:v>
      </x:c>
      <x:c r="R5" s="41" t="str">
        <x:f>IF(A5="","",IF(A5="跳过","跳过",IF(OR(B5="",LEN(C5)=0,LEN(D5)=0,F5="",G5="",H5=""),"缺少必填项",IF(COUNTIF('站点与CPU'!$B$5:$B$64,B5)=0,"站点ID不存在",IF(COUNTIFS($B$5:$B$124,B5,$C$5:$C$124,C5,$D$5:$D$124,D5,$E$5:$E$124,E5)&gt;1,"槽位重复",IF(AND(A5="克隆",P5=""),"缺少源模块名称","通过"))))))</x:f>
        <x:v>通过</x:v>
      </x:c>
    </x:row>
    <x:row r="6">
      <x:c r="A6" s="37"/>
      <x:c r="B6" s="37"/>
      <x:c r="C6" s="37"/>
      <x:c r="D6" s="37"/>
      <x:c r="E6" s="38"/>
      <x:c r="F6" s="37"/>
      <x:c r="G6" s="37"/>
      <x:c r="H6" s="37"/>
      <x:c r="I6" s="38"/>
      <x:c r="J6" s="38"/>
      <x:c r="K6" s="38"/>
      <x:c r="L6" s="38"/>
      <x:c r="M6" s="38"/>
      <x:c r="N6" s="38"/>
      <x:c r="O6" s="38"/>
      <x:c r="P6" s="38"/>
      <x:c r="Q6" s="38"/>
      <x:c r="R6" s="42" t="str">
        <x:f>IF(A6="","",IF(A6="跳过","跳过",IF(OR(B6="",LEN(C6)=0,LEN(D6)=0,F6="",G6="",H6=""),"缺少必填项",IF(COUNTIF('站点与CPU'!$B$5:$B$64,B6)=0,"站点ID不存在",IF(COUNTIFS($B$5:$B$124,B6,$C$5:$C$124,C6,$D$5:$D$124,D6,$E$5:$E$124,E6)&gt;1,"槽位重复",IF(AND(A6="克隆",P6=""),"缺少源模块名称","通过"))))))</x:f>
      </x:c>
    </x:row>
    <x:row r="7">
      <x:c r="A7" s="37"/>
      <x:c r="B7" s="37"/>
      <x:c r="C7" s="37"/>
      <x:c r="D7" s="37"/>
      <x:c r="E7" s="38"/>
      <x:c r="F7" s="37"/>
      <x:c r="G7" s="37"/>
      <x:c r="H7" s="37"/>
      <x:c r="I7" s="38"/>
      <x:c r="J7" s="38"/>
      <x:c r="K7" s="38"/>
      <x:c r="L7" s="38"/>
      <x:c r="M7" s="38"/>
      <x:c r="N7" s="38"/>
      <x:c r="O7" s="38"/>
      <x:c r="P7" s="38"/>
      <x:c r="Q7" s="38"/>
      <x:c r="R7" s="42" t="str">
        <x:f>IF(A7="","",IF(A7="跳过","跳过",IF(OR(B7="",LEN(C7)=0,LEN(D7)=0,F7="",G7="",H7=""),"缺少必填项",IF(COUNTIF('站点与CPU'!$B$5:$B$64,B7)=0,"站点ID不存在",IF(COUNTIFS($B$5:$B$124,B7,$C$5:$C$124,C7,$D$5:$D$124,D7,$E$5:$E$124,E7)&gt;1,"槽位重复",IF(AND(A7="克隆",P7=""),"缺少源模块名称","通过"))))))</x:f>
      </x:c>
    </x:row>
    <x:row r="8">
      <x:c r="A8" s="37"/>
      <x:c r="B8" s="37"/>
      <x:c r="C8" s="37"/>
      <x:c r="D8" s="37"/>
      <x:c r="E8" s="38"/>
      <x:c r="F8" s="37"/>
      <x:c r="G8" s="37"/>
      <x:c r="H8" s="37"/>
      <x:c r="I8" s="38"/>
      <x:c r="J8" s="38"/>
      <x:c r="K8" s="38"/>
      <x:c r="L8" s="38"/>
      <x:c r="M8" s="38"/>
      <x:c r="N8" s="38"/>
      <x:c r="O8" s="38"/>
      <x:c r="P8" s="38"/>
      <x:c r="Q8" s="38"/>
      <x:c r="R8" s="42" t="str">
        <x:f>IF(A8="","",IF(A8="跳过","跳过",IF(OR(B8="",LEN(C8)=0,LEN(D8)=0,F8="",G8="",H8=""),"缺少必填项",IF(COUNTIF('站点与CPU'!$B$5:$B$64,B8)=0,"站点ID不存在",IF(COUNTIFS($B$5:$B$124,B8,$C$5:$C$124,C8,$D$5:$D$124,D8,$E$5:$E$124,E8)&gt;1,"槽位重复",IF(AND(A8="克隆",P8=""),"缺少源模块名称","通过"))))))</x:f>
      </x:c>
    </x:row>
    <x:row r="9">
      <x:c r="A9" s="37"/>
      <x:c r="B9" s="37"/>
      <x:c r="C9" s="37"/>
      <x:c r="D9" s="37"/>
      <x:c r="E9" s="38"/>
      <x:c r="F9" s="37"/>
      <x:c r="G9" s="37"/>
      <x:c r="H9" s="37"/>
      <x:c r="I9" s="38"/>
      <x:c r="J9" s="38"/>
      <x:c r="K9" s="38"/>
      <x:c r="L9" s="38"/>
      <x:c r="M9" s="38"/>
      <x:c r="N9" s="38"/>
      <x:c r="O9" s="38"/>
      <x:c r="P9" s="38"/>
      <x:c r="Q9" s="38"/>
      <x:c r="R9" s="42" t="str">
        <x:f>IF(A9="","",IF(A9="跳过","跳过",IF(OR(B9="",LEN(C9)=0,LEN(D9)=0,F9="",G9="",H9=""),"缺少必填项",IF(COUNTIF('站点与CPU'!$B$5:$B$64,B9)=0,"站点ID不存在",IF(COUNTIFS($B$5:$B$124,B9,$C$5:$C$124,C9,$D$5:$D$124,D9,$E$5:$E$124,E9)&gt;1,"槽位重复",IF(AND(A9="克隆",P9=""),"缺少源模块名称","通过"))))))</x:f>
      </x:c>
    </x:row>
    <x:row r="10">
      <x:c r="A10" s="37"/>
      <x:c r="B10" s="37"/>
      <x:c r="C10" s="37"/>
      <x:c r="D10" s="37"/>
      <x:c r="E10" s="38"/>
      <x:c r="F10" s="37"/>
      <x:c r="G10" s="37"/>
      <x:c r="H10" s="37"/>
      <x:c r="I10" s="38"/>
      <x:c r="J10" s="38"/>
      <x:c r="K10" s="38"/>
      <x:c r="L10" s="38"/>
      <x:c r="M10" s="38"/>
      <x:c r="N10" s="38"/>
      <x:c r="O10" s="38"/>
      <x:c r="P10" s="38"/>
      <x:c r="Q10" s="38"/>
      <x:c r="R10" s="42" t="str">
        <x:f>IF(A10="","",IF(A10="跳过","跳过",IF(OR(B10="",LEN(C10)=0,LEN(D10)=0,F10="",G10="",H10=""),"缺少必填项",IF(COUNTIF('站点与CPU'!$B$5:$B$64,B10)=0,"站点ID不存在",IF(COUNTIFS($B$5:$B$124,B10,$C$5:$C$124,C10,$D$5:$D$124,D10,$E$5:$E$124,E10)&gt;1,"槽位重复",IF(AND(A10="克隆",P10=""),"缺少源模块名称","通过"))))))</x:f>
      </x:c>
    </x:row>
    <x:row r="11">
      <x:c r="A11" s="37"/>
      <x:c r="B11" s="37"/>
      <x:c r="C11" s="37"/>
      <x:c r="D11" s="37"/>
      <x:c r="E11" s="38"/>
      <x:c r="F11" s="37"/>
      <x:c r="G11" s="37"/>
      <x:c r="H11" s="37"/>
      <x:c r="I11" s="38"/>
      <x:c r="J11" s="38"/>
      <x:c r="K11" s="38"/>
      <x:c r="L11" s="38"/>
      <x:c r="M11" s="38"/>
      <x:c r="N11" s="38"/>
      <x:c r="O11" s="38"/>
      <x:c r="P11" s="38"/>
      <x:c r="Q11" s="38"/>
      <x:c r="R11" s="42" t="str">
        <x:f>IF(A11="","",IF(A11="跳过","跳过",IF(OR(B11="",LEN(C11)=0,LEN(D11)=0,F11="",G11="",H11=""),"缺少必填项",IF(COUNTIF('站点与CPU'!$B$5:$B$64,B11)=0,"站点ID不存在",IF(COUNTIFS($B$5:$B$124,B11,$C$5:$C$124,C11,$D$5:$D$124,D11,$E$5:$E$124,E11)&gt;1,"槽位重复",IF(AND(A11="克隆",P11=""),"缺少源模块名称","通过"))))))</x:f>
      </x:c>
    </x:row>
    <x:row r="12">
      <x:c r="A12" s="37"/>
      <x:c r="B12" s="37"/>
      <x:c r="C12" s="37"/>
      <x:c r="D12" s="37"/>
      <x:c r="E12" s="38"/>
      <x:c r="F12" s="37"/>
      <x:c r="G12" s="37"/>
      <x:c r="H12" s="37"/>
      <x:c r="I12" s="38"/>
      <x:c r="J12" s="38"/>
      <x:c r="K12" s="38"/>
      <x:c r="L12" s="38"/>
      <x:c r="M12" s="38"/>
      <x:c r="N12" s="38"/>
      <x:c r="O12" s="38"/>
      <x:c r="P12" s="38"/>
      <x:c r="Q12" s="38"/>
      <x:c r="R12" s="42" t="str">
        <x:f>IF(A12="","",IF(A12="跳过","跳过",IF(OR(B12="",LEN(C12)=0,LEN(D12)=0,F12="",G12="",H12=""),"缺少必填项",IF(COUNTIF('站点与CPU'!$B$5:$B$64,B12)=0,"站点ID不存在",IF(COUNTIFS($B$5:$B$124,B12,$C$5:$C$124,C12,$D$5:$D$124,D12,$E$5:$E$124,E12)&gt;1,"槽位重复",IF(AND(A12="克隆",P12=""),"缺少源模块名称","通过"))))))</x:f>
      </x:c>
    </x:row>
    <x:row r="13">
      <x:c r="A13" s="37"/>
      <x:c r="B13" s="37"/>
      <x:c r="C13" s="37"/>
      <x:c r="D13" s="37"/>
      <x:c r="E13" s="38"/>
      <x:c r="F13" s="37"/>
      <x:c r="G13" s="37"/>
      <x:c r="H13" s="37"/>
      <x:c r="I13" s="38"/>
      <x:c r="J13" s="38"/>
      <x:c r="K13" s="38"/>
      <x:c r="L13" s="38"/>
      <x:c r="M13" s="38"/>
      <x:c r="N13" s="38"/>
      <x:c r="O13" s="38"/>
      <x:c r="P13" s="38"/>
      <x:c r="Q13" s="38"/>
      <x:c r="R13" s="42" t="str">
        <x:f>IF(A13="","",IF(A13="跳过","跳过",IF(OR(B13="",LEN(C13)=0,LEN(D13)=0,F13="",G13="",H13=""),"缺少必填项",IF(COUNTIF('站点与CPU'!$B$5:$B$64,B13)=0,"站点ID不存在",IF(COUNTIFS($B$5:$B$124,B13,$C$5:$C$124,C13,$D$5:$D$124,D13,$E$5:$E$124,E13)&gt;1,"槽位重复",IF(AND(A13="克隆",P13=""),"缺少源模块名称","通过"))))))</x:f>
      </x:c>
    </x:row>
    <x:row r="14">
      <x:c r="A14" s="37"/>
      <x:c r="B14" s="37"/>
      <x:c r="C14" s="37"/>
      <x:c r="D14" s="37"/>
      <x:c r="E14" s="38"/>
      <x:c r="F14" s="37"/>
      <x:c r="G14" s="37"/>
      <x:c r="H14" s="37"/>
      <x:c r="I14" s="38"/>
      <x:c r="J14" s="38"/>
      <x:c r="K14" s="38"/>
      <x:c r="L14" s="38"/>
      <x:c r="M14" s="38"/>
      <x:c r="N14" s="38"/>
      <x:c r="O14" s="38"/>
      <x:c r="P14" s="38"/>
      <x:c r="Q14" s="38"/>
      <x:c r="R14" s="42" t="str">
        <x:f>IF(A14="","",IF(A14="跳过","跳过",IF(OR(B14="",LEN(C14)=0,LEN(D14)=0,F14="",G14="",H14=""),"缺少必填项",IF(COUNTIF('站点与CPU'!$B$5:$B$64,B14)=0,"站点ID不存在",IF(COUNTIFS($B$5:$B$124,B14,$C$5:$C$124,C14,$D$5:$D$124,D14,$E$5:$E$124,E14)&gt;1,"槽位重复",IF(AND(A14="克隆",P14=""),"缺少源模块名称","通过"))))))</x:f>
      </x:c>
    </x:row>
    <x:row r="15">
      <x:c r="A15" s="37"/>
      <x:c r="B15" s="37"/>
      <x:c r="C15" s="37"/>
      <x:c r="D15" s="37"/>
      <x:c r="E15" s="38"/>
      <x:c r="F15" s="37"/>
      <x:c r="G15" s="37"/>
      <x:c r="H15" s="37"/>
      <x:c r="I15" s="38"/>
      <x:c r="J15" s="38"/>
      <x:c r="K15" s="38"/>
      <x:c r="L15" s="38"/>
      <x:c r="M15" s="38"/>
      <x:c r="N15" s="38"/>
      <x:c r="O15" s="38"/>
      <x:c r="P15" s="38"/>
      <x:c r="Q15" s="38"/>
      <x:c r="R15" s="42" t="str">
        <x:f>IF(A15="","",IF(A15="跳过","跳过",IF(OR(B15="",LEN(C15)=0,LEN(D15)=0,F15="",G15="",H15=""),"缺少必填项",IF(COUNTIF('站点与CPU'!$B$5:$B$64,B15)=0,"站点ID不存在",IF(COUNTIFS($B$5:$B$124,B15,$C$5:$C$124,C15,$D$5:$D$124,D15,$E$5:$E$124,E15)&gt;1,"槽位重复",IF(AND(A15="克隆",P15=""),"缺少源模块名称","通过"))))))</x:f>
      </x:c>
    </x:row>
    <x:row r="16">
      <x:c r="A16" s="37"/>
      <x:c r="B16" s="37"/>
      <x:c r="C16" s="37"/>
      <x:c r="D16" s="37"/>
      <x:c r="E16" s="38"/>
      <x:c r="F16" s="37"/>
      <x:c r="G16" s="37"/>
      <x:c r="H16" s="37"/>
      <x:c r="I16" s="38"/>
      <x:c r="J16" s="38"/>
      <x:c r="K16" s="38"/>
      <x:c r="L16" s="38"/>
      <x:c r="M16" s="38"/>
      <x:c r="N16" s="38"/>
      <x:c r="O16" s="38"/>
      <x:c r="P16" s="38"/>
      <x:c r="Q16" s="38"/>
      <x:c r="R16" s="42" t="str">
        <x:f>IF(A16="","",IF(A16="跳过","跳过",IF(OR(B16="",LEN(C16)=0,LEN(D16)=0,F16="",G16="",H16=""),"缺少必填项",IF(COUNTIF('站点与CPU'!$B$5:$B$64,B16)=0,"站点ID不存在",IF(COUNTIFS($B$5:$B$124,B16,$C$5:$C$124,C16,$D$5:$D$124,D16,$E$5:$E$124,E16)&gt;1,"槽位重复",IF(AND(A16="克隆",P16=""),"缺少源模块名称","通过"))))))</x:f>
      </x:c>
    </x:row>
    <x:row r="17">
      <x:c r="A17" s="37"/>
      <x:c r="B17" s="37"/>
      <x:c r="C17" s="37"/>
      <x:c r="D17" s="37"/>
      <x:c r="E17" s="38"/>
      <x:c r="F17" s="37"/>
      <x:c r="G17" s="37"/>
      <x:c r="H17" s="37"/>
      <x:c r="I17" s="38"/>
      <x:c r="J17" s="38"/>
      <x:c r="K17" s="38"/>
      <x:c r="L17" s="38"/>
      <x:c r="M17" s="38"/>
      <x:c r="N17" s="38"/>
      <x:c r="O17" s="38"/>
      <x:c r="P17" s="38"/>
      <x:c r="Q17" s="38"/>
      <x:c r="R17" s="42" t="str">
        <x:f>IF(A17="","",IF(A17="跳过","跳过",IF(OR(B17="",LEN(C17)=0,LEN(D17)=0,F17="",G17="",H17=""),"缺少必填项",IF(COUNTIF('站点与CPU'!$B$5:$B$64,B17)=0,"站点ID不存在",IF(COUNTIFS($B$5:$B$124,B17,$C$5:$C$124,C17,$D$5:$D$124,D17,$E$5:$E$124,E17)&gt;1,"槽位重复",IF(AND(A17="克隆",P17=""),"缺少源模块名称","通过"))))))</x:f>
      </x:c>
    </x:row>
    <x:row r="18">
      <x:c r="A18" s="37"/>
      <x:c r="B18" s="37"/>
      <x:c r="C18" s="37"/>
      <x:c r="D18" s="37"/>
      <x:c r="E18" s="38"/>
      <x:c r="F18" s="37"/>
      <x:c r="G18" s="37"/>
      <x:c r="H18" s="37"/>
      <x:c r="I18" s="38"/>
      <x:c r="J18" s="38"/>
      <x:c r="K18" s="38"/>
      <x:c r="L18" s="38"/>
      <x:c r="M18" s="38"/>
      <x:c r="N18" s="38"/>
      <x:c r="O18" s="38"/>
      <x:c r="P18" s="38"/>
      <x:c r="Q18" s="38"/>
      <x:c r="R18" s="42" t="str">
        <x:f>IF(A18="","",IF(A18="跳过","跳过",IF(OR(B18="",LEN(C18)=0,LEN(D18)=0,F18="",G18="",H18=""),"缺少必填项",IF(COUNTIF('站点与CPU'!$B$5:$B$64,B18)=0,"站点ID不存在",IF(COUNTIFS($B$5:$B$124,B18,$C$5:$C$124,C18,$D$5:$D$124,D18,$E$5:$E$124,E18)&gt;1,"槽位重复",IF(AND(A18="克隆",P18=""),"缺少源模块名称","通过"))))))</x:f>
      </x:c>
    </x:row>
    <x:row r="19">
      <x:c r="A19" s="37"/>
      <x:c r="B19" s="37"/>
      <x:c r="C19" s="37"/>
      <x:c r="D19" s="37"/>
      <x:c r="E19" s="38"/>
      <x:c r="F19" s="37"/>
      <x:c r="G19" s="37"/>
      <x:c r="H19" s="37"/>
      <x:c r="I19" s="38"/>
      <x:c r="J19" s="38"/>
      <x:c r="K19" s="38"/>
      <x:c r="L19" s="38"/>
      <x:c r="M19" s="38"/>
      <x:c r="N19" s="38"/>
      <x:c r="O19" s="38"/>
      <x:c r="P19" s="38"/>
      <x:c r="Q19" s="38"/>
      <x:c r="R19" s="42" t="str">
        <x:f>IF(A19="","",IF(A19="跳过","跳过",IF(OR(B19="",LEN(C19)=0,LEN(D19)=0,F19="",G19="",H19=""),"缺少必填项",IF(COUNTIF('站点与CPU'!$B$5:$B$64,B19)=0,"站点ID不存在",IF(COUNTIFS($B$5:$B$124,B19,$C$5:$C$124,C19,$D$5:$D$124,D19,$E$5:$E$124,E19)&gt;1,"槽位重复",IF(AND(A19="克隆",P19=""),"缺少源模块名称","通过"))))))</x:f>
      </x:c>
    </x:row>
    <x:row r="20">
      <x:c r="A20" s="37"/>
      <x:c r="B20" s="37"/>
      <x:c r="C20" s="37"/>
      <x:c r="D20" s="37"/>
      <x:c r="E20" s="38"/>
      <x:c r="F20" s="37"/>
      <x:c r="G20" s="37"/>
      <x:c r="H20" s="37"/>
      <x:c r="I20" s="38"/>
      <x:c r="J20" s="38"/>
      <x:c r="K20" s="38"/>
      <x:c r="L20" s="38"/>
      <x:c r="M20" s="38"/>
      <x:c r="N20" s="38"/>
      <x:c r="O20" s="38"/>
      <x:c r="P20" s="38"/>
      <x:c r="Q20" s="38"/>
      <x:c r="R20" s="42" t="str">
        <x:f>IF(A20="","",IF(A20="跳过","跳过",IF(OR(B20="",LEN(C20)=0,LEN(D20)=0,F20="",G20="",H20=""),"缺少必填项",IF(COUNTIF('站点与CPU'!$B$5:$B$64,B20)=0,"站点ID不存在",IF(COUNTIFS($B$5:$B$124,B20,$C$5:$C$124,C20,$D$5:$D$124,D20,$E$5:$E$124,E20)&gt;1,"槽位重复",IF(AND(A20="克隆",P20=""),"缺少源模块名称","通过"))))))</x:f>
      </x:c>
    </x:row>
    <x:row r="21">
      <x:c r="A21" s="37"/>
      <x:c r="B21" s="37"/>
      <x:c r="C21" s="37"/>
      <x:c r="D21" s="37"/>
      <x:c r="E21" s="38"/>
      <x:c r="F21" s="37"/>
      <x:c r="G21" s="37"/>
      <x:c r="H21" s="37"/>
      <x:c r="I21" s="38"/>
      <x:c r="J21" s="38"/>
      <x:c r="K21" s="38"/>
      <x:c r="L21" s="38"/>
      <x:c r="M21" s="38"/>
      <x:c r="N21" s="38"/>
      <x:c r="O21" s="38"/>
      <x:c r="P21" s="38"/>
      <x:c r="Q21" s="38"/>
      <x:c r="R21" s="42" t="str">
        <x:f>IF(A21="","",IF(A21="跳过","跳过",IF(OR(B21="",LEN(C21)=0,LEN(D21)=0,F21="",G21="",H21=""),"缺少必填项",IF(COUNTIF('站点与CPU'!$B$5:$B$64,B21)=0,"站点ID不存在",IF(COUNTIFS($B$5:$B$124,B21,$C$5:$C$124,C21,$D$5:$D$124,D21,$E$5:$E$124,E21)&gt;1,"槽位重复",IF(AND(A21="克隆",P21=""),"缺少源模块名称","通过"))))))</x:f>
      </x:c>
    </x:row>
    <x:row r="22">
      <x:c r="A22" s="37"/>
      <x:c r="B22" s="37"/>
      <x:c r="C22" s="37"/>
      <x:c r="D22" s="37"/>
      <x:c r="E22" s="38"/>
      <x:c r="F22" s="37"/>
      <x:c r="G22" s="37"/>
      <x:c r="H22" s="37"/>
      <x:c r="I22" s="38"/>
      <x:c r="J22" s="38"/>
      <x:c r="K22" s="38"/>
      <x:c r="L22" s="38"/>
      <x:c r="M22" s="38"/>
      <x:c r="N22" s="38"/>
      <x:c r="O22" s="38"/>
      <x:c r="P22" s="38"/>
      <x:c r="Q22" s="38"/>
      <x:c r="R22" s="42" t="str">
        <x:f>IF(A22="","",IF(A22="跳过","跳过",IF(OR(B22="",LEN(C22)=0,LEN(D22)=0,F22="",G22="",H22=""),"缺少必填项",IF(COUNTIF('站点与CPU'!$B$5:$B$64,B22)=0,"站点ID不存在",IF(COUNTIFS($B$5:$B$124,B22,$C$5:$C$124,C22,$D$5:$D$124,D22,$E$5:$E$124,E22)&gt;1,"槽位重复",IF(AND(A22="克隆",P22=""),"缺少源模块名称","通过"))))))</x:f>
      </x:c>
    </x:row>
    <x:row r="23">
      <x:c r="A23" s="37"/>
      <x:c r="B23" s="37"/>
      <x:c r="C23" s="37"/>
      <x:c r="D23" s="37"/>
      <x:c r="E23" s="38"/>
      <x:c r="F23" s="37"/>
      <x:c r="G23" s="37"/>
      <x:c r="H23" s="37"/>
      <x:c r="I23" s="38"/>
      <x:c r="J23" s="38"/>
      <x:c r="K23" s="38"/>
      <x:c r="L23" s="38"/>
      <x:c r="M23" s="38"/>
      <x:c r="N23" s="38"/>
      <x:c r="O23" s="38"/>
      <x:c r="P23" s="38"/>
      <x:c r="Q23" s="38"/>
      <x:c r="R23" s="42" t="str">
        <x:f>IF(A23="","",IF(A23="跳过","跳过",IF(OR(B23="",LEN(C23)=0,LEN(D23)=0,F23="",G23="",H23=""),"缺少必填项",IF(COUNTIF('站点与CPU'!$B$5:$B$64,B23)=0,"站点ID不存在",IF(COUNTIFS($B$5:$B$124,B23,$C$5:$C$124,C23,$D$5:$D$124,D23,$E$5:$E$124,E23)&gt;1,"槽位重复",IF(AND(A23="克隆",P23=""),"缺少源模块名称","通过"))))))</x:f>
      </x:c>
    </x:row>
    <x:row r="24">
      <x:c r="A24" s="37"/>
      <x:c r="B24" s="37"/>
      <x:c r="C24" s="37"/>
      <x:c r="D24" s="37"/>
      <x:c r="E24" s="38"/>
      <x:c r="F24" s="37"/>
      <x:c r="G24" s="37"/>
      <x:c r="H24" s="37"/>
      <x:c r="I24" s="38"/>
      <x:c r="J24" s="38"/>
      <x:c r="K24" s="38"/>
      <x:c r="L24" s="38"/>
      <x:c r="M24" s="38"/>
      <x:c r="N24" s="38"/>
      <x:c r="O24" s="38"/>
      <x:c r="P24" s="38"/>
      <x:c r="Q24" s="38"/>
      <x:c r="R24" s="42" t="str">
        <x:f>IF(A24="","",IF(A24="跳过","跳过",IF(OR(B24="",LEN(C24)=0,LEN(D24)=0,F24="",G24="",H24=""),"缺少必填项",IF(COUNTIF('站点与CPU'!$B$5:$B$64,B24)=0,"站点ID不存在",IF(COUNTIFS($B$5:$B$124,B24,$C$5:$C$124,C24,$D$5:$D$124,D24,$E$5:$E$124,E24)&gt;1,"槽位重复",IF(AND(A24="克隆",P24=""),"缺少源模块名称","通过"))))))</x:f>
      </x:c>
    </x:row>
    <x:row r="25">
      <x:c r="A25" s="37"/>
      <x:c r="B25" s="37"/>
      <x:c r="C25" s="37"/>
      <x:c r="D25" s="37"/>
      <x:c r="E25" s="38"/>
      <x:c r="F25" s="37"/>
      <x:c r="G25" s="37"/>
      <x:c r="H25" s="37"/>
      <x:c r="I25" s="38"/>
      <x:c r="J25" s="38"/>
      <x:c r="K25" s="38"/>
      <x:c r="L25" s="38"/>
      <x:c r="M25" s="38"/>
      <x:c r="N25" s="38"/>
      <x:c r="O25" s="38"/>
      <x:c r="P25" s="38"/>
      <x:c r="Q25" s="38"/>
      <x:c r="R25" s="42" t="str">
        <x:f>IF(A25="","",IF(A25="跳过","跳过",IF(OR(B25="",LEN(C25)=0,LEN(D25)=0,F25="",G25="",H25=""),"缺少必填项",IF(COUNTIF('站点与CPU'!$B$5:$B$64,B25)=0,"站点ID不存在",IF(COUNTIFS($B$5:$B$124,B25,$C$5:$C$124,C25,$D$5:$D$124,D25,$E$5:$E$124,E25)&gt;1,"槽位重复",IF(AND(A25="克隆",P25=""),"缺少源模块名称","通过"))))))</x:f>
      </x:c>
    </x:row>
    <x:row r="26">
      <x:c r="A26" s="37"/>
      <x:c r="B26" s="37"/>
      <x:c r="C26" s="37"/>
      <x:c r="D26" s="37"/>
      <x:c r="E26" s="38"/>
      <x:c r="F26" s="37"/>
      <x:c r="G26" s="37"/>
      <x:c r="H26" s="37"/>
      <x:c r="I26" s="38"/>
      <x:c r="J26" s="38"/>
      <x:c r="K26" s="38"/>
      <x:c r="L26" s="38"/>
      <x:c r="M26" s="38"/>
      <x:c r="N26" s="38"/>
      <x:c r="O26" s="38"/>
      <x:c r="P26" s="38"/>
      <x:c r="Q26" s="38"/>
      <x:c r="R26" s="42" t="str">
        <x:f>IF(A26="","",IF(A26="跳过","跳过",IF(OR(B26="",LEN(C26)=0,LEN(D26)=0,F26="",G26="",H26=""),"缺少必填项",IF(COUNTIF('站点与CPU'!$B$5:$B$64,B26)=0,"站点ID不存在",IF(COUNTIFS($B$5:$B$124,B26,$C$5:$C$124,C26,$D$5:$D$124,D26,$E$5:$E$124,E26)&gt;1,"槽位重复",IF(AND(A26="克隆",P26=""),"缺少源模块名称","通过"))))))</x:f>
      </x:c>
    </x:row>
    <x:row r="27">
      <x:c r="A27" s="37"/>
      <x:c r="B27" s="37"/>
      <x:c r="C27" s="37"/>
      <x:c r="D27" s="37"/>
      <x:c r="E27" s="38"/>
      <x:c r="F27" s="37"/>
      <x:c r="G27" s="37"/>
      <x:c r="H27" s="37"/>
      <x:c r="I27" s="38"/>
      <x:c r="J27" s="38"/>
      <x:c r="K27" s="38"/>
      <x:c r="L27" s="38"/>
      <x:c r="M27" s="38"/>
      <x:c r="N27" s="38"/>
      <x:c r="O27" s="38"/>
      <x:c r="P27" s="38"/>
      <x:c r="Q27" s="38"/>
      <x:c r="R27" s="42" t="str">
        <x:f>IF(A27="","",IF(A27="跳过","跳过",IF(OR(B27="",LEN(C27)=0,LEN(D27)=0,F27="",G27="",H27=""),"缺少必填项",IF(COUNTIF('站点与CPU'!$B$5:$B$64,B27)=0,"站点ID不存在",IF(COUNTIFS($B$5:$B$124,B27,$C$5:$C$124,C27,$D$5:$D$124,D27,$E$5:$E$124,E27)&gt;1,"槽位重复",IF(AND(A27="克隆",P27=""),"缺少源模块名称","通过"))))))</x:f>
      </x:c>
    </x:row>
    <x:row r="28">
      <x:c r="A28" s="37"/>
      <x:c r="B28" s="37"/>
      <x:c r="C28" s="37"/>
      <x:c r="D28" s="37"/>
      <x:c r="E28" s="38"/>
      <x:c r="F28" s="37"/>
      <x:c r="G28" s="37"/>
      <x:c r="H28" s="37"/>
      <x:c r="I28" s="38"/>
      <x:c r="J28" s="38"/>
      <x:c r="K28" s="38"/>
      <x:c r="L28" s="38"/>
      <x:c r="M28" s="38"/>
      <x:c r="N28" s="38"/>
      <x:c r="O28" s="38"/>
      <x:c r="P28" s="38"/>
      <x:c r="Q28" s="38"/>
      <x:c r="R28" s="42" t="str">
        <x:f>IF(A28="","",IF(A28="跳过","跳过",IF(OR(B28="",LEN(C28)=0,LEN(D28)=0,F28="",G28="",H28=""),"缺少必填项",IF(COUNTIF('站点与CPU'!$B$5:$B$64,B28)=0,"站点ID不存在",IF(COUNTIFS($B$5:$B$124,B28,$C$5:$C$124,C28,$D$5:$D$124,D28,$E$5:$E$124,E28)&gt;1,"槽位重复",IF(AND(A28="克隆",P28=""),"缺少源模块名称","通过"))))))</x:f>
      </x:c>
    </x:row>
    <x:row r="29">
      <x:c r="A29" s="37"/>
      <x:c r="B29" s="37"/>
      <x:c r="C29" s="37"/>
      <x:c r="D29" s="37"/>
      <x:c r="E29" s="38"/>
      <x:c r="F29" s="37"/>
      <x:c r="G29" s="37"/>
      <x:c r="H29" s="37"/>
      <x:c r="I29" s="38"/>
      <x:c r="J29" s="38"/>
      <x:c r="K29" s="38"/>
      <x:c r="L29" s="38"/>
      <x:c r="M29" s="38"/>
      <x:c r="N29" s="38"/>
      <x:c r="O29" s="38"/>
      <x:c r="P29" s="38"/>
      <x:c r="Q29" s="38"/>
      <x:c r="R29" s="42" t="str">
        <x:f>IF(A29="","",IF(A29="跳过","跳过",IF(OR(B29="",LEN(C29)=0,LEN(D29)=0,F29="",G29="",H29=""),"缺少必填项",IF(COUNTIF('站点与CPU'!$B$5:$B$64,B29)=0,"站点ID不存在",IF(COUNTIFS($B$5:$B$124,B29,$C$5:$C$124,C29,$D$5:$D$124,D29,$E$5:$E$124,E29)&gt;1,"槽位重复",IF(AND(A29="克隆",P29=""),"缺少源模块名称","通过"))))))</x:f>
      </x:c>
    </x:row>
    <x:row r="30">
      <x:c r="A30" s="37"/>
      <x:c r="B30" s="37"/>
      <x:c r="C30" s="37"/>
      <x:c r="D30" s="37"/>
      <x:c r="E30" s="38"/>
      <x:c r="F30" s="37"/>
      <x:c r="G30" s="37"/>
      <x:c r="H30" s="37"/>
      <x:c r="I30" s="38"/>
      <x:c r="J30" s="38"/>
      <x:c r="K30" s="38"/>
      <x:c r="L30" s="38"/>
      <x:c r="M30" s="38"/>
      <x:c r="N30" s="38"/>
      <x:c r="O30" s="38"/>
      <x:c r="P30" s="38"/>
      <x:c r="Q30" s="38"/>
      <x:c r="R30" s="42" t="str">
        <x:f>IF(A30="","",IF(A30="跳过","跳过",IF(OR(B30="",LEN(C30)=0,LEN(D30)=0,F30="",G30="",H30=""),"缺少必填项",IF(COUNTIF('站点与CPU'!$B$5:$B$64,B30)=0,"站点ID不存在",IF(COUNTIFS($B$5:$B$124,B30,$C$5:$C$124,C30,$D$5:$D$124,D30,$E$5:$E$124,E30)&gt;1,"槽位重复",IF(AND(A30="克隆",P30=""),"缺少源模块名称","通过"))))))</x:f>
      </x:c>
    </x:row>
    <x:row r="31">
      <x:c r="A31" s="37"/>
      <x:c r="B31" s="37"/>
      <x:c r="C31" s="37"/>
      <x:c r="D31" s="37"/>
      <x:c r="E31" s="38"/>
      <x:c r="F31" s="37"/>
      <x:c r="G31" s="37"/>
      <x:c r="H31" s="37"/>
      <x:c r="I31" s="38"/>
      <x:c r="J31" s="38"/>
      <x:c r="K31" s="38"/>
      <x:c r="L31" s="38"/>
      <x:c r="M31" s="38"/>
      <x:c r="N31" s="38"/>
      <x:c r="O31" s="38"/>
      <x:c r="P31" s="38"/>
      <x:c r="Q31" s="38"/>
      <x:c r="R31" s="42" t="str">
        <x:f>IF(A31="","",IF(A31="跳过","跳过",IF(OR(B31="",LEN(C31)=0,LEN(D31)=0,F31="",G31="",H31=""),"缺少必填项",IF(COUNTIF('站点与CPU'!$B$5:$B$64,B31)=0,"站点ID不存在",IF(COUNTIFS($B$5:$B$124,B31,$C$5:$C$124,C31,$D$5:$D$124,D31,$E$5:$E$124,E31)&gt;1,"槽位重复",IF(AND(A31="克隆",P31=""),"缺少源模块名称","通过"))))))</x:f>
      </x:c>
    </x:row>
    <x:row r="32">
      <x:c r="A32" s="37"/>
      <x:c r="B32" s="37"/>
      <x:c r="C32" s="37"/>
      <x:c r="D32" s="37"/>
      <x:c r="E32" s="38"/>
      <x:c r="F32" s="37"/>
      <x:c r="G32" s="37"/>
      <x:c r="H32" s="37"/>
      <x:c r="I32" s="38"/>
      <x:c r="J32" s="38"/>
      <x:c r="K32" s="38"/>
      <x:c r="L32" s="38"/>
      <x:c r="M32" s="38"/>
      <x:c r="N32" s="38"/>
      <x:c r="O32" s="38"/>
      <x:c r="P32" s="38"/>
      <x:c r="Q32" s="38"/>
      <x:c r="R32" s="42" t="str">
        <x:f>IF(A32="","",IF(A32="跳过","跳过",IF(OR(B32="",LEN(C32)=0,LEN(D32)=0,F32="",G32="",H32=""),"缺少必填项",IF(COUNTIF('站点与CPU'!$B$5:$B$64,B32)=0,"站点ID不存在",IF(COUNTIFS($B$5:$B$124,B32,$C$5:$C$124,C32,$D$5:$D$124,D32,$E$5:$E$124,E32)&gt;1,"槽位重复",IF(AND(A32="克隆",P32=""),"缺少源模块名称","通过"))))))</x:f>
      </x:c>
    </x:row>
    <x:row r="33">
      <x:c r="A33" s="37"/>
      <x:c r="B33" s="37"/>
      <x:c r="C33" s="37"/>
      <x:c r="D33" s="37"/>
      <x:c r="E33" s="38"/>
      <x:c r="F33" s="37"/>
      <x:c r="G33" s="37"/>
      <x:c r="H33" s="37"/>
      <x:c r="I33" s="38"/>
      <x:c r="J33" s="38"/>
      <x:c r="K33" s="38"/>
      <x:c r="L33" s="38"/>
      <x:c r="M33" s="38"/>
      <x:c r="N33" s="38"/>
      <x:c r="O33" s="38"/>
      <x:c r="P33" s="38"/>
      <x:c r="Q33" s="38"/>
      <x:c r="R33" s="42" t="str">
        <x:f>IF(A33="","",IF(A33="跳过","跳过",IF(OR(B33="",LEN(C33)=0,LEN(D33)=0,F33="",G33="",H33=""),"缺少必填项",IF(COUNTIF('站点与CPU'!$B$5:$B$64,B33)=0,"站点ID不存在",IF(COUNTIFS($B$5:$B$124,B33,$C$5:$C$124,C33,$D$5:$D$124,D33,$E$5:$E$124,E33)&gt;1,"槽位重复",IF(AND(A33="克隆",P33=""),"缺少源模块名称","通过"))))))</x:f>
      </x:c>
    </x:row>
    <x:row r="34">
      <x:c r="A34" s="37"/>
      <x:c r="B34" s="37"/>
      <x:c r="C34" s="37"/>
      <x:c r="D34" s="37"/>
      <x:c r="E34" s="38"/>
      <x:c r="F34" s="37"/>
      <x:c r="G34" s="37"/>
      <x:c r="H34" s="37"/>
      <x:c r="I34" s="38"/>
      <x:c r="J34" s="38"/>
      <x:c r="K34" s="38"/>
      <x:c r="L34" s="38"/>
      <x:c r="M34" s="38"/>
      <x:c r="N34" s="38"/>
      <x:c r="O34" s="38"/>
      <x:c r="P34" s="38"/>
      <x:c r="Q34" s="38"/>
      <x:c r="R34" s="42" t="str">
        <x:f>IF(A34="","",IF(A34="跳过","跳过",IF(OR(B34="",LEN(C34)=0,LEN(D34)=0,F34="",G34="",H34=""),"缺少必填项",IF(COUNTIF('站点与CPU'!$B$5:$B$64,B34)=0,"站点ID不存在",IF(COUNTIFS($B$5:$B$124,B34,$C$5:$C$124,C34,$D$5:$D$124,D34,$E$5:$E$124,E34)&gt;1,"槽位重复",IF(AND(A34="克隆",P34=""),"缺少源模块名称","通过"))))))</x:f>
      </x:c>
    </x:row>
    <x:row r="35">
      <x:c r="A35" s="37"/>
      <x:c r="B35" s="37"/>
      <x:c r="C35" s="37"/>
      <x:c r="D35" s="37"/>
      <x:c r="E35" s="38"/>
      <x:c r="F35" s="37"/>
      <x:c r="G35" s="37"/>
      <x:c r="H35" s="37"/>
      <x:c r="I35" s="38"/>
      <x:c r="J35" s="38"/>
      <x:c r="K35" s="38"/>
      <x:c r="L35" s="38"/>
      <x:c r="M35" s="38"/>
      <x:c r="N35" s="38"/>
      <x:c r="O35" s="38"/>
      <x:c r="P35" s="38"/>
      <x:c r="Q35" s="38"/>
      <x:c r="R35" s="42" t="str">
        <x:f>IF(A35="","",IF(A35="跳过","跳过",IF(OR(B35="",LEN(C35)=0,LEN(D35)=0,F35="",G35="",H35=""),"缺少必填项",IF(COUNTIF('站点与CPU'!$B$5:$B$64,B35)=0,"站点ID不存在",IF(COUNTIFS($B$5:$B$124,B35,$C$5:$C$124,C35,$D$5:$D$124,D35,$E$5:$E$124,E35)&gt;1,"槽位重复",IF(AND(A35="克隆",P35=""),"缺少源模块名称","通过"))))))</x:f>
      </x:c>
    </x:row>
    <x:row r="36">
      <x:c r="A36" s="37"/>
      <x:c r="B36" s="37"/>
      <x:c r="C36" s="37"/>
      <x:c r="D36" s="37"/>
      <x:c r="E36" s="38"/>
      <x:c r="F36" s="37"/>
      <x:c r="G36" s="37"/>
      <x:c r="H36" s="37"/>
      <x:c r="I36" s="38"/>
      <x:c r="J36" s="38"/>
      <x:c r="K36" s="38"/>
      <x:c r="L36" s="38"/>
      <x:c r="M36" s="38"/>
      <x:c r="N36" s="38"/>
      <x:c r="O36" s="38"/>
      <x:c r="P36" s="38"/>
      <x:c r="Q36" s="38"/>
      <x:c r="R36" s="42" t="str">
        <x:f>IF(A36="","",IF(A36="跳过","跳过",IF(OR(B36="",LEN(C36)=0,LEN(D36)=0,F36="",G36="",H36=""),"缺少必填项",IF(COUNTIF('站点与CPU'!$B$5:$B$64,B36)=0,"站点ID不存在",IF(COUNTIFS($B$5:$B$124,B36,$C$5:$C$124,C36,$D$5:$D$124,D36,$E$5:$E$124,E36)&gt;1,"槽位重复",IF(AND(A36="克隆",P36=""),"缺少源模块名称","通过"))))))</x:f>
      </x:c>
    </x:row>
    <x:row r="37">
      <x:c r="A37" s="37"/>
      <x:c r="B37" s="37"/>
      <x:c r="C37" s="37"/>
      <x:c r="D37" s="37"/>
      <x:c r="E37" s="38"/>
      <x:c r="F37" s="37"/>
      <x:c r="G37" s="37"/>
      <x:c r="H37" s="37"/>
      <x:c r="I37" s="38"/>
      <x:c r="J37" s="38"/>
      <x:c r="K37" s="38"/>
      <x:c r="L37" s="38"/>
      <x:c r="M37" s="38"/>
      <x:c r="N37" s="38"/>
      <x:c r="O37" s="38"/>
      <x:c r="P37" s="38"/>
      <x:c r="Q37" s="38"/>
      <x:c r="R37" s="42" t="str">
        <x:f>IF(A37="","",IF(A37="跳过","跳过",IF(OR(B37="",LEN(C37)=0,LEN(D37)=0,F37="",G37="",H37=""),"缺少必填项",IF(COUNTIF('站点与CPU'!$B$5:$B$64,B37)=0,"站点ID不存在",IF(COUNTIFS($B$5:$B$124,B37,$C$5:$C$124,C37,$D$5:$D$124,D37,$E$5:$E$124,E37)&gt;1,"槽位重复",IF(AND(A37="克隆",P37=""),"缺少源模块名称","通过"))))))</x:f>
      </x:c>
    </x:row>
    <x:row r="38">
      <x:c r="A38" s="37"/>
      <x:c r="B38" s="37"/>
      <x:c r="C38" s="37"/>
      <x:c r="D38" s="37"/>
      <x:c r="E38" s="38"/>
      <x:c r="F38" s="37"/>
      <x:c r="G38" s="37"/>
      <x:c r="H38" s="37"/>
      <x:c r="I38" s="38"/>
      <x:c r="J38" s="38"/>
      <x:c r="K38" s="38"/>
      <x:c r="L38" s="38"/>
      <x:c r="M38" s="38"/>
      <x:c r="N38" s="38"/>
      <x:c r="O38" s="38"/>
      <x:c r="P38" s="38"/>
      <x:c r="Q38" s="38"/>
      <x:c r="R38" s="42" t="str">
        <x:f>IF(A38="","",IF(A38="跳过","跳过",IF(OR(B38="",LEN(C38)=0,LEN(D38)=0,F38="",G38="",H38=""),"缺少必填项",IF(COUNTIF('站点与CPU'!$B$5:$B$64,B38)=0,"站点ID不存在",IF(COUNTIFS($B$5:$B$124,B38,$C$5:$C$124,C38,$D$5:$D$124,D38,$E$5:$E$124,E38)&gt;1,"槽位重复",IF(AND(A38="克隆",P38=""),"缺少源模块名称","通过"))))))</x:f>
      </x:c>
    </x:row>
    <x:row r="39">
      <x:c r="A39" s="37"/>
      <x:c r="B39" s="37"/>
      <x:c r="C39" s="37"/>
      <x:c r="D39" s="37"/>
      <x:c r="E39" s="38"/>
      <x:c r="F39" s="37"/>
      <x:c r="G39" s="37"/>
      <x:c r="H39" s="37"/>
      <x:c r="I39" s="38"/>
      <x:c r="J39" s="38"/>
      <x:c r="K39" s="38"/>
      <x:c r="L39" s="38"/>
      <x:c r="M39" s="38"/>
      <x:c r="N39" s="38"/>
      <x:c r="O39" s="38"/>
      <x:c r="P39" s="38"/>
      <x:c r="Q39" s="38"/>
      <x:c r="R39" s="42" t="str">
        <x:f>IF(A39="","",IF(A39="跳过","跳过",IF(OR(B39="",LEN(C39)=0,LEN(D39)=0,F39="",G39="",H39=""),"缺少必填项",IF(COUNTIF('站点与CPU'!$B$5:$B$64,B39)=0,"站点ID不存在",IF(COUNTIFS($B$5:$B$124,B39,$C$5:$C$124,C39,$D$5:$D$124,D39,$E$5:$E$124,E39)&gt;1,"槽位重复",IF(AND(A39="克隆",P39=""),"缺少源模块名称","通过"))))))</x:f>
      </x:c>
    </x:row>
    <x:row r="40">
      <x:c r="A40" s="37"/>
      <x:c r="B40" s="37"/>
      <x:c r="C40" s="37"/>
      <x:c r="D40" s="37"/>
      <x:c r="E40" s="38"/>
      <x:c r="F40" s="37"/>
      <x:c r="G40" s="37"/>
      <x:c r="H40" s="37"/>
      <x:c r="I40" s="38"/>
      <x:c r="J40" s="38"/>
      <x:c r="K40" s="38"/>
      <x:c r="L40" s="38"/>
      <x:c r="M40" s="38"/>
      <x:c r="N40" s="38"/>
      <x:c r="O40" s="38"/>
      <x:c r="P40" s="38"/>
      <x:c r="Q40" s="38"/>
      <x:c r="R40" s="42" t="str">
        <x:f>IF(A40="","",IF(A40="跳过","跳过",IF(OR(B40="",LEN(C40)=0,LEN(D40)=0,F40="",G40="",H40=""),"缺少必填项",IF(COUNTIF('站点与CPU'!$B$5:$B$64,B40)=0,"站点ID不存在",IF(COUNTIFS($B$5:$B$124,B40,$C$5:$C$124,C40,$D$5:$D$124,D40,$E$5:$E$124,E40)&gt;1,"槽位重复",IF(AND(A40="克隆",P40=""),"缺少源模块名称","通过"))))))</x:f>
      </x:c>
    </x:row>
    <x:row r="41">
      <x:c r="A41" s="37"/>
      <x:c r="B41" s="37"/>
      <x:c r="C41" s="37"/>
      <x:c r="D41" s="37"/>
      <x:c r="E41" s="38"/>
      <x:c r="F41" s="37"/>
      <x:c r="G41" s="37"/>
      <x:c r="H41" s="37"/>
      <x:c r="I41" s="38"/>
      <x:c r="J41" s="38"/>
      <x:c r="K41" s="38"/>
      <x:c r="L41" s="38"/>
      <x:c r="M41" s="38"/>
      <x:c r="N41" s="38"/>
      <x:c r="O41" s="38"/>
      <x:c r="P41" s="38"/>
      <x:c r="Q41" s="38"/>
      <x:c r="R41" s="42" t="str">
        <x:f>IF(A41="","",IF(A41="跳过","跳过",IF(OR(B41="",LEN(C41)=0,LEN(D41)=0,F41="",G41="",H41=""),"缺少必填项",IF(COUNTIF('站点与CPU'!$B$5:$B$64,B41)=0,"站点ID不存在",IF(COUNTIFS($B$5:$B$124,B41,$C$5:$C$124,C41,$D$5:$D$124,D41,$E$5:$E$124,E41)&gt;1,"槽位重复",IF(AND(A41="克隆",P41=""),"缺少源模块名称","通过"))))))</x:f>
      </x:c>
    </x:row>
    <x:row r="42">
      <x:c r="A42" s="37"/>
      <x:c r="B42" s="37"/>
      <x:c r="C42" s="37"/>
      <x:c r="D42" s="37"/>
      <x:c r="E42" s="38"/>
      <x:c r="F42" s="37"/>
      <x:c r="G42" s="37"/>
      <x:c r="H42" s="37"/>
      <x:c r="I42" s="38"/>
      <x:c r="J42" s="38"/>
      <x:c r="K42" s="38"/>
      <x:c r="L42" s="38"/>
      <x:c r="M42" s="38"/>
      <x:c r="N42" s="38"/>
      <x:c r="O42" s="38"/>
      <x:c r="P42" s="38"/>
      <x:c r="Q42" s="38"/>
      <x:c r="R42" s="42" t="str">
        <x:f>IF(A42="","",IF(A42="跳过","跳过",IF(OR(B42="",LEN(C42)=0,LEN(D42)=0,F42="",G42="",H42=""),"缺少必填项",IF(COUNTIF('站点与CPU'!$B$5:$B$64,B42)=0,"站点ID不存在",IF(COUNTIFS($B$5:$B$124,B42,$C$5:$C$124,C42,$D$5:$D$124,D42,$E$5:$E$124,E42)&gt;1,"槽位重复",IF(AND(A42="克隆",P42=""),"缺少源模块名称","通过"))))))</x:f>
      </x:c>
    </x:row>
    <x:row r="43">
      <x:c r="A43" s="37"/>
      <x:c r="B43" s="37"/>
      <x:c r="C43" s="37"/>
      <x:c r="D43" s="37"/>
      <x:c r="E43" s="38"/>
      <x:c r="F43" s="37"/>
      <x:c r="G43" s="37"/>
      <x:c r="H43" s="37"/>
      <x:c r="I43" s="38"/>
      <x:c r="J43" s="38"/>
      <x:c r="K43" s="38"/>
      <x:c r="L43" s="38"/>
      <x:c r="M43" s="38"/>
      <x:c r="N43" s="38"/>
      <x:c r="O43" s="38"/>
      <x:c r="P43" s="38"/>
      <x:c r="Q43" s="38"/>
      <x:c r="R43" s="42" t="str">
        <x:f>IF(A43="","",IF(A43="跳过","跳过",IF(OR(B43="",LEN(C43)=0,LEN(D43)=0,F43="",G43="",H43=""),"缺少必填项",IF(COUNTIF('站点与CPU'!$B$5:$B$64,B43)=0,"站点ID不存在",IF(COUNTIFS($B$5:$B$124,B43,$C$5:$C$124,C43,$D$5:$D$124,D43,$E$5:$E$124,E43)&gt;1,"槽位重复",IF(AND(A43="克隆",P43=""),"缺少源模块名称","通过"))))))</x:f>
      </x:c>
    </x:row>
    <x:row r="44">
      <x:c r="A44" s="37"/>
      <x:c r="B44" s="37"/>
      <x:c r="C44" s="37"/>
      <x:c r="D44" s="37"/>
      <x:c r="E44" s="38"/>
      <x:c r="F44" s="37"/>
      <x:c r="G44" s="37"/>
      <x:c r="H44" s="37"/>
      <x:c r="I44" s="38"/>
      <x:c r="J44" s="38"/>
      <x:c r="K44" s="38"/>
      <x:c r="L44" s="38"/>
      <x:c r="M44" s="38"/>
      <x:c r="N44" s="38"/>
      <x:c r="O44" s="38"/>
      <x:c r="P44" s="38"/>
      <x:c r="Q44" s="38"/>
      <x:c r="R44" s="42" t="str">
        <x:f>IF(A44="","",IF(A44="跳过","跳过",IF(OR(B44="",LEN(C44)=0,LEN(D44)=0,F44="",G44="",H44=""),"缺少必填项",IF(COUNTIF('站点与CPU'!$B$5:$B$64,B44)=0,"站点ID不存在",IF(COUNTIFS($B$5:$B$124,B44,$C$5:$C$124,C44,$D$5:$D$124,D44,$E$5:$E$124,E44)&gt;1,"槽位重复",IF(AND(A44="克隆",P44=""),"缺少源模块名称","通过"))))))</x:f>
      </x:c>
    </x:row>
    <x:row r="45">
      <x:c r="A45" s="37"/>
      <x:c r="B45" s="37"/>
      <x:c r="C45" s="37"/>
      <x:c r="D45" s="37"/>
      <x:c r="E45" s="38"/>
      <x:c r="F45" s="37"/>
      <x:c r="G45" s="37"/>
      <x:c r="H45" s="37"/>
      <x:c r="I45" s="38"/>
      <x:c r="J45" s="38"/>
      <x:c r="K45" s="38"/>
      <x:c r="L45" s="38"/>
      <x:c r="M45" s="38"/>
      <x:c r="N45" s="38"/>
      <x:c r="O45" s="38"/>
      <x:c r="P45" s="38"/>
      <x:c r="Q45" s="38"/>
      <x:c r="R45" s="42" t="str">
        <x:f>IF(A45="","",IF(A45="跳过","跳过",IF(OR(B45="",LEN(C45)=0,LEN(D45)=0,F45="",G45="",H45=""),"缺少必填项",IF(COUNTIF('站点与CPU'!$B$5:$B$64,B45)=0,"站点ID不存在",IF(COUNTIFS($B$5:$B$124,B45,$C$5:$C$124,C45,$D$5:$D$124,D45,$E$5:$E$124,E45)&gt;1,"槽位重复",IF(AND(A45="克隆",P45=""),"缺少源模块名称","通过"))))))</x:f>
      </x:c>
    </x:row>
    <x:row r="46">
      <x:c r="A46" s="37"/>
      <x:c r="B46" s="37"/>
      <x:c r="C46" s="37"/>
      <x:c r="D46" s="37"/>
      <x:c r="E46" s="38"/>
      <x:c r="F46" s="37"/>
      <x:c r="G46" s="37"/>
      <x:c r="H46" s="37"/>
      <x:c r="I46" s="38"/>
      <x:c r="J46" s="38"/>
      <x:c r="K46" s="38"/>
      <x:c r="L46" s="38"/>
      <x:c r="M46" s="38"/>
      <x:c r="N46" s="38"/>
      <x:c r="O46" s="38"/>
      <x:c r="P46" s="38"/>
      <x:c r="Q46" s="38"/>
      <x:c r="R46" s="42" t="str">
        <x:f>IF(A46="","",IF(A46="跳过","跳过",IF(OR(B46="",LEN(C46)=0,LEN(D46)=0,F46="",G46="",H46=""),"缺少必填项",IF(COUNTIF('站点与CPU'!$B$5:$B$64,B46)=0,"站点ID不存在",IF(COUNTIFS($B$5:$B$124,B46,$C$5:$C$124,C46,$D$5:$D$124,D46,$E$5:$E$124,E46)&gt;1,"槽位重复",IF(AND(A46="克隆",P46=""),"缺少源模块名称","通过"))))))</x:f>
      </x:c>
    </x:row>
    <x:row r="47">
      <x:c r="A47" s="37"/>
      <x:c r="B47" s="37"/>
      <x:c r="C47" s="37"/>
      <x:c r="D47" s="37"/>
      <x:c r="E47" s="38"/>
      <x:c r="F47" s="37"/>
      <x:c r="G47" s="37"/>
      <x:c r="H47" s="37"/>
      <x:c r="I47" s="38"/>
      <x:c r="J47" s="38"/>
      <x:c r="K47" s="38"/>
      <x:c r="L47" s="38"/>
      <x:c r="M47" s="38"/>
      <x:c r="N47" s="38"/>
      <x:c r="O47" s="38"/>
      <x:c r="P47" s="38"/>
      <x:c r="Q47" s="38"/>
      <x:c r="R47" s="42" t="str">
        <x:f>IF(A47="","",IF(A47="跳过","跳过",IF(OR(B47="",LEN(C47)=0,LEN(D47)=0,F47="",G47="",H47=""),"缺少必填项",IF(COUNTIF('站点与CPU'!$B$5:$B$64,B47)=0,"站点ID不存在",IF(COUNTIFS($B$5:$B$124,B47,$C$5:$C$124,C47,$D$5:$D$124,D47,$E$5:$E$124,E47)&gt;1,"槽位重复",IF(AND(A47="克隆",P47=""),"缺少源模块名称","通过"))))))</x:f>
      </x:c>
    </x:row>
    <x:row r="48">
      <x:c r="A48" s="37"/>
      <x:c r="B48" s="37"/>
      <x:c r="C48" s="37"/>
      <x:c r="D48" s="37"/>
      <x:c r="E48" s="38"/>
      <x:c r="F48" s="37"/>
      <x:c r="G48" s="37"/>
      <x:c r="H48" s="37"/>
      <x:c r="I48" s="38"/>
      <x:c r="J48" s="38"/>
      <x:c r="K48" s="38"/>
      <x:c r="L48" s="38"/>
      <x:c r="M48" s="38"/>
      <x:c r="N48" s="38"/>
      <x:c r="O48" s="38"/>
      <x:c r="P48" s="38"/>
      <x:c r="Q48" s="38"/>
      <x:c r="R48" s="42" t="str">
        <x:f>IF(A48="","",IF(A48="跳过","跳过",IF(OR(B48="",LEN(C48)=0,LEN(D48)=0,F48="",G48="",H48=""),"缺少必填项",IF(COUNTIF('站点与CPU'!$B$5:$B$64,B48)=0,"站点ID不存在",IF(COUNTIFS($B$5:$B$124,B48,$C$5:$C$124,C48,$D$5:$D$124,D48,$E$5:$E$124,E48)&gt;1,"槽位重复",IF(AND(A48="克隆",P48=""),"缺少源模块名称","通过"))))))</x:f>
      </x:c>
    </x:row>
    <x:row r="49">
      <x:c r="A49" s="37"/>
      <x:c r="B49" s="37"/>
      <x:c r="C49" s="37"/>
      <x:c r="D49" s="37"/>
      <x:c r="E49" s="38"/>
      <x:c r="F49" s="37"/>
      <x:c r="G49" s="37"/>
      <x:c r="H49" s="37"/>
      <x:c r="I49" s="38"/>
      <x:c r="J49" s="38"/>
      <x:c r="K49" s="38"/>
      <x:c r="L49" s="38"/>
      <x:c r="M49" s="38"/>
      <x:c r="N49" s="38"/>
      <x:c r="O49" s="38"/>
      <x:c r="P49" s="38"/>
      <x:c r="Q49" s="38"/>
      <x:c r="R49" s="42" t="str">
        <x:f>IF(A49="","",IF(A49="跳过","跳过",IF(OR(B49="",LEN(C49)=0,LEN(D49)=0,F49="",G49="",H49=""),"缺少必填项",IF(COUNTIF('站点与CPU'!$B$5:$B$64,B49)=0,"站点ID不存在",IF(COUNTIFS($B$5:$B$124,B49,$C$5:$C$124,C49,$D$5:$D$124,D49,$E$5:$E$124,E49)&gt;1,"槽位重复",IF(AND(A49="克隆",P49=""),"缺少源模块名称","通过"))))))</x:f>
      </x:c>
    </x:row>
    <x:row r="50">
      <x:c r="A50" s="37"/>
      <x:c r="B50" s="37"/>
      <x:c r="C50" s="37"/>
      <x:c r="D50" s="37"/>
      <x:c r="E50" s="38"/>
      <x:c r="F50" s="37"/>
      <x:c r="G50" s="37"/>
      <x:c r="H50" s="37"/>
      <x:c r="I50" s="38"/>
      <x:c r="J50" s="38"/>
      <x:c r="K50" s="38"/>
      <x:c r="L50" s="38"/>
      <x:c r="M50" s="38"/>
      <x:c r="N50" s="38"/>
      <x:c r="O50" s="38"/>
      <x:c r="P50" s="38"/>
      <x:c r="Q50" s="38"/>
      <x:c r="R50" s="42" t="str">
        <x:f>IF(A50="","",IF(A50="跳过","跳过",IF(OR(B50="",LEN(C50)=0,LEN(D50)=0,F50="",G50="",H50=""),"缺少必填项",IF(COUNTIF('站点与CPU'!$B$5:$B$64,B50)=0,"站点ID不存在",IF(COUNTIFS($B$5:$B$124,B50,$C$5:$C$124,C50,$D$5:$D$124,D50,$E$5:$E$124,E50)&gt;1,"槽位重复",IF(AND(A50="克隆",P50=""),"缺少源模块名称","通过"))))))</x:f>
      </x:c>
    </x:row>
    <x:row r="51">
      <x:c r="A51" s="37"/>
      <x:c r="B51" s="37"/>
      <x:c r="C51" s="37"/>
      <x:c r="D51" s="37"/>
      <x:c r="E51" s="38"/>
      <x:c r="F51" s="37"/>
      <x:c r="G51" s="37"/>
      <x:c r="H51" s="37"/>
      <x:c r="I51" s="38"/>
      <x:c r="J51" s="38"/>
      <x:c r="K51" s="38"/>
      <x:c r="L51" s="38"/>
      <x:c r="M51" s="38"/>
      <x:c r="N51" s="38"/>
      <x:c r="O51" s="38"/>
      <x:c r="P51" s="38"/>
      <x:c r="Q51" s="38"/>
      <x:c r="R51" s="42" t="str">
        <x:f>IF(A51="","",IF(A51="跳过","跳过",IF(OR(B51="",LEN(C51)=0,LEN(D51)=0,F51="",G51="",H51=""),"缺少必填项",IF(COUNTIF('站点与CPU'!$B$5:$B$64,B51)=0,"站点ID不存在",IF(COUNTIFS($B$5:$B$124,B51,$C$5:$C$124,C51,$D$5:$D$124,D51,$E$5:$E$124,E51)&gt;1,"槽位重复",IF(AND(A51="克隆",P51=""),"缺少源模块名称","通过"))))))</x:f>
      </x:c>
    </x:row>
    <x:row r="52">
      <x:c r="A52" s="37"/>
      <x:c r="B52" s="37"/>
      <x:c r="C52" s="37"/>
      <x:c r="D52" s="37"/>
      <x:c r="E52" s="38"/>
      <x:c r="F52" s="37"/>
      <x:c r="G52" s="37"/>
      <x:c r="H52" s="37"/>
      <x:c r="I52" s="38"/>
      <x:c r="J52" s="38"/>
      <x:c r="K52" s="38"/>
      <x:c r="L52" s="38"/>
      <x:c r="M52" s="38"/>
      <x:c r="N52" s="38"/>
      <x:c r="O52" s="38"/>
      <x:c r="P52" s="38"/>
      <x:c r="Q52" s="38"/>
      <x:c r="R52" s="42" t="str">
        <x:f>IF(A52="","",IF(A52="跳过","跳过",IF(OR(B52="",LEN(C52)=0,LEN(D52)=0,F52="",G52="",H52=""),"缺少必填项",IF(COUNTIF('站点与CPU'!$B$5:$B$64,B52)=0,"站点ID不存在",IF(COUNTIFS($B$5:$B$124,B52,$C$5:$C$124,C52,$D$5:$D$124,D52,$E$5:$E$124,E52)&gt;1,"槽位重复",IF(AND(A52="克隆",P52=""),"缺少源模块名称","通过"))))))</x:f>
      </x:c>
    </x:row>
    <x:row r="53">
      <x:c r="A53" s="37"/>
      <x:c r="B53" s="37"/>
      <x:c r="C53" s="37"/>
      <x:c r="D53" s="37"/>
      <x:c r="E53" s="38"/>
      <x:c r="F53" s="37"/>
      <x:c r="G53" s="37"/>
      <x:c r="H53" s="37"/>
      <x:c r="I53" s="38"/>
      <x:c r="J53" s="38"/>
      <x:c r="K53" s="38"/>
      <x:c r="L53" s="38"/>
      <x:c r="M53" s="38"/>
      <x:c r="N53" s="38"/>
      <x:c r="O53" s="38"/>
      <x:c r="P53" s="38"/>
      <x:c r="Q53" s="38"/>
      <x:c r="R53" s="42" t="str">
        <x:f>IF(A53="","",IF(A53="跳过","跳过",IF(OR(B53="",LEN(C53)=0,LEN(D53)=0,F53="",G53="",H53=""),"缺少必填项",IF(COUNTIF('站点与CPU'!$B$5:$B$64,B53)=0,"站点ID不存在",IF(COUNTIFS($B$5:$B$124,B53,$C$5:$C$124,C53,$D$5:$D$124,D53,$E$5:$E$124,E53)&gt;1,"槽位重复",IF(AND(A53="克隆",P53=""),"缺少源模块名称","通过"))))))</x:f>
      </x:c>
    </x:row>
    <x:row r="54">
      <x:c r="A54" s="37"/>
      <x:c r="B54" s="37"/>
      <x:c r="C54" s="37"/>
      <x:c r="D54" s="37"/>
      <x:c r="E54" s="38"/>
      <x:c r="F54" s="37"/>
      <x:c r="G54" s="37"/>
      <x:c r="H54" s="37"/>
      <x:c r="I54" s="38"/>
      <x:c r="J54" s="38"/>
      <x:c r="K54" s="38"/>
      <x:c r="L54" s="38"/>
      <x:c r="M54" s="38"/>
      <x:c r="N54" s="38"/>
      <x:c r="O54" s="38"/>
      <x:c r="P54" s="38"/>
      <x:c r="Q54" s="38"/>
      <x:c r="R54" s="42" t="str">
        <x:f>IF(A54="","",IF(A54="跳过","跳过",IF(OR(B54="",LEN(C54)=0,LEN(D54)=0,F54="",G54="",H54=""),"缺少必填项",IF(COUNTIF('站点与CPU'!$B$5:$B$64,B54)=0,"站点ID不存在",IF(COUNTIFS($B$5:$B$124,B54,$C$5:$C$124,C54,$D$5:$D$124,D54,$E$5:$E$124,E54)&gt;1,"槽位重复",IF(AND(A54="克隆",P54=""),"缺少源模块名称","通过"))))))</x:f>
      </x:c>
    </x:row>
    <x:row r="55">
      <x:c r="A55" s="37"/>
      <x:c r="B55" s="37"/>
      <x:c r="C55" s="37"/>
      <x:c r="D55" s="37"/>
      <x:c r="E55" s="38"/>
      <x:c r="F55" s="37"/>
      <x:c r="G55" s="37"/>
      <x:c r="H55" s="37"/>
      <x:c r="I55" s="38"/>
      <x:c r="J55" s="38"/>
      <x:c r="K55" s="38"/>
      <x:c r="L55" s="38"/>
      <x:c r="M55" s="38"/>
      <x:c r="N55" s="38"/>
      <x:c r="O55" s="38"/>
      <x:c r="P55" s="38"/>
      <x:c r="Q55" s="38"/>
      <x:c r="R55" s="42" t="str">
        <x:f>IF(A55="","",IF(A55="跳过","跳过",IF(OR(B55="",LEN(C55)=0,LEN(D55)=0,F55="",G55="",H55=""),"缺少必填项",IF(COUNTIF('站点与CPU'!$B$5:$B$64,B55)=0,"站点ID不存在",IF(COUNTIFS($B$5:$B$124,B55,$C$5:$C$124,C55,$D$5:$D$124,D55,$E$5:$E$124,E55)&gt;1,"槽位重复",IF(AND(A55="克隆",P55=""),"缺少源模块名称","通过"))))))</x:f>
      </x:c>
    </x:row>
    <x:row r="56">
      <x:c r="A56" s="37"/>
      <x:c r="B56" s="37"/>
      <x:c r="C56" s="37"/>
      <x:c r="D56" s="37"/>
      <x:c r="E56" s="38"/>
      <x:c r="F56" s="37"/>
      <x:c r="G56" s="37"/>
      <x:c r="H56" s="37"/>
      <x:c r="I56" s="38"/>
      <x:c r="J56" s="38"/>
      <x:c r="K56" s="38"/>
      <x:c r="L56" s="38"/>
      <x:c r="M56" s="38"/>
      <x:c r="N56" s="38"/>
      <x:c r="O56" s="38"/>
      <x:c r="P56" s="38"/>
      <x:c r="Q56" s="38"/>
      <x:c r="R56" s="42" t="str">
        <x:f>IF(A56="","",IF(A56="跳过","跳过",IF(OR(B56="",LEN(C56)=0,LEN(D56)=0,F56="",G56="",H56=""),"缺少必填项",IF(COUNTIF('站点与CPU'!$B$5:$B$64,B56)=0,"站点ID不存在",IF(COUNTIFS($B$5:$B$124,B56,$C$5:$C$124,C56,$D$5:$D$124,D56,$E$5:$E$124,E56)&gt;1,"槽位重复",IF(AND(A56="克隆",P56=""),"缺少源模块名称","通过"))))))</x:f>
      </x:c>
    </x:row>
    <x:row r="57">
      <x:c r="A57" s="37"/>
      <x:c r="B57" s="37"/>
      <x:c r="C57" s="37"/>
      <x:c r="D57" s="37"/>
      <x:c r="E57" s="38"/>
      <x:c r="F57" s="37"/>
      <x:c r="G57" s="37"/>
      <x:c r="H57" s="37"/>
      <x:c r="I57" s="38"/>
      <x:c r="J57" s="38"/>
      <x:c r="K57" s="38"/>
      <x:c r="L57" s="38"/>
      <x:c r="M57" s="38"/>
      <x:c r="N57" s="38"/>
      <x:c r="O57" s="38"/>
      <x:c r="P57" s="38"/>
      <x:c r="Q57" s="38"/>
      <x:c r="R57" s="42" t="str">
        <x:f>IF(A57="","",IF(A57="跳过","跳过",IF(OR(B57="",LEN(C57)=0,LEN(D57)=0,F57="",G57="",H57=""),"缺少必填项",IF(COUNTIF('站点与CPU'!$B$5:$B$64,B57)=0,"站点ID不存在",IF(COUNTIFS($B$5:$B$124,B57,$C$5:$C$124,C57,$D$5:$D$124,D57,$E$5:$E$124,E57)&gt;1,"槽位重复",IF(AND(A57="克隆",P57=""),"缺少源模块名称","通过"))))))</x:f>
      </x:c>
    </x:row>
    <x:row r="58">
      <x:c r="A58" s="37"/>
      <x:c r="B58" s="37"/>
      <x:c r="C58" s="37"/>
      <x:c r="D58" s="37"/>
      <x:c r="E58" s="38"/>
      <x:c r="F58" s="37"/>
      <x:c r="G58" s="37"/>
      <x:c r="H58" s="37"/>
      <x:c r="I58" s="38"/>
      <x:c r="J58" s="38"/>
      <x:c r="K58" s="38"/>
      <x:c r="L58" s="38"/>
      <x:c r="M58" s="38"/>
      <x:c r="N58" s="38"/>
      <x:c r="O58" s="38"/>
      <x:c r="P58" s="38"/>
      <x:c r="Q58" s="38"/>
      <x:c r="R58" s="42" t="str">
        <x:f>IF(A58="","",IF(A58="跳过","跳过",IF(OR(B58="",LEN(C58)=0,LEN(D58)=0,F58="",G58="",H58=""),"缺少必填项",IF(COUNTIF('站点与CPU'!$B$5:$B$64,B58)=0,"站点ID不存在",IF(COUNTIFS($B$5:$B$124,B58,$C$5:$C$124,C58,$D$5:$D$124,D58,$E$5:$E$124,E58)&gt;1,"槽位重复",IF(AND(A58="克隆",P58=""),"缺少源模块名称","通过"))))))</x:f>
      </x:c>
    </x:row>
    <x:row r="59">
      <x:c r="A59" s="37"/>
      <x:c r="B59" s="37"/>
      <x:c r="C59" s="37"/>
      <x:c r="D59" s="37"/>
      <x:c r="E59" s="38"/>
      <x:c r="F59" s="37"/>
      <x:c r="G59" s="37"/>
      <x:c r="H59" s="37"/>
      <x:c r="I59" s="38"/>
      <x:c r="J59" s="38"/>
      <x:c r="K59" s="38"/>
      <x:c r="L59" s="38"/>
      <x:c r="M59" s="38"/>
      <x:c r="N59" s="38"/>
      <x:c r="O59" s="38"/>
      <x:c r="P59" s="38"/>
      <x:c r="Q59" s="38"/>
      <x:c r="R59" s="42" t="str">
        <x:f>IF(A59="","",IF(A59="跳过","跳过",IF(OR(B59="",LEN(C59)=0,LEN(D59)=0,F59="",G59="",H59=""),"缺少必填项",IF(COUNTIF('站点与CPU'!$B$5:$B$64,B59)=0,"站点ID不存在",IF(COUNTIFS($B$5:$B$124,B59,$C$5:$C$124,C59,$D$5:$D$124,D59,$E$5:$E$124,E59)&gt;1,"槽位重复",IF(AND(A59="克隆",P59=""),"缺少源模块名称","通过"))))))</x:f>
      </x:c>
    </x:row>
    <x:row r="60">
      <x:c r="A60" s="37"/>
      <x:c r="B60" s="37"/>
      <x:c r="C60" s="37"/>
      <x:c r="D60" s="37"/>
      <x:c r="E60" s="38"/>
      <x:c r="F60" s="37"/>
      <x:c r="G60" s="37"/>
      <x:c r="H60" s="37"/>
      <x:c r="I60" s="38"/>
      <x:c r="J60" s="38"/>
      <x:c r="K60" s="38"/>
      <x:c r="L60" s="38"/>
      <x:c r="M60" s="38"/>
      <x:c r="N60" s="38"/>
      <x:c r="O60" s="38"/>
      <x:c r="P60" s="38"/>
      <x:c r="Q60" s="38"/>
      <x:c r="R60" s="42" t="str">
        <x:f>IF(A60="","",IF(A60="跳过","跳过",IF(OR(B60="",LEN(C60)=0,LEN(D60)=0,F60="",G60="",H60=""),"缺少必填项",IF(COUNTIF('站点与CPU'!$B$5:$B$64,B60)=0,"站点ID不存在",IF(COUNTIFS($B$5:$B$124,B60,$C$5:$C$124,C60,$D$5:$D$124,D60,$E$5:$E$124,E60)&gt;1,"槽位重复",IF(AND(A60="克隆",P60=""),"缺少源模块名称","通过"))))))</x:f>
      </x:c>
    </x:row>
    <x:row r="61">
      <x:c r="A61" s="37"/>
      <x:c r="B61" s="37"/>
      <x:c r="C61" s="37"/>
      <x:c r="D61" s="37"/>
      <x:c r="E61" s="38"/>
      <x:c r="F61" s="37"/>
      <x:c r="G61" s="37"/>
      <x:c r="H61" s="37"/>
      <x:c r="I61" s="38"/>
      <x:c r="J61" s="38"/>
      <x:c r="K61" s="38"/>
      <x:c r="L61" s="38"/>
      <x:c r="M61" s="38"/>
      <x:c r="N61" s="38"/>
      <x:c r="O61" s="38"/>
      <x:c r="P61" s="38"/>
      <x:c r="Q61" s="38"/>
      <x:c r="R61" s="42" t="str">
        <x:f>IF(A61="","",IF(A61="跳过","跳过",IF(OR(B61="",LEN(C61)=0,LEN(D61)=0,F61="",G61="",H61=""),"缺少必填项",IF(COUNTIF('站点与CPU'!$B$5:$B$64,B61)=0,"站点ID不存在",IF(COUNTIFS($B$5:$B$124,B61,$C$5:$C$124,C61,$D$5:$D$124,D61,$E$5:$E$124,E61)&gt;1,"槽位重复",IF(AND(A61="克隆",P61=""),"缺少源模块名称","通过"))))))</x:f>
      </x:c>
    </x:row>
    <x:row r="62">
      <x:c r="A62" s="37"/>
      <x:c r="B62" s="37"/>
      <x:c r="C62" s="37"/>
      <x:c r="D62" s="37"/>
      <x:c r="E62" s="38"/>
      <x:c r="F62" s="37"/>
      <x:c r="G62" s="37"/>
      <x:c r="H62" s="37"/>
      <x:c r="I62" s="38"/>
      <x:c r="J62" s="38"/>
      <x:c r="K62" s="38"/>
      <x:c r="L62" s="38"/>
      <x:c r="M62" s="38"/>
      <x:c r="N62" s="38"/>
      <x:c r="O62" s="38"/>
      <x:c r="P62" s="38"/>
      <x:c r="Q62" s="38"/>
      <x:c r="R62" s="42" t="str">
        <x:f>IF(A62="","",IF(A62="跳过","跳过",IF(OR(B62="",LEN(C62)=0,LEN(D62)=0,F62="",G62="",H62=""),"缺少必填项",IF(COUNTIF('站点与CPU'!$B$5:$B$64,B62)=0,"站点ID不存在",IF(COUNTIFS($B$5:$B$124,B62,$C$5:$C$124,C62,$D$5:$D$124,D62,$E$5:$E$124,E62)&gt;1,"槽位重复",IF(AND(A62="克隆",P62=""),"缺少源模块名称","通过"))))))</x:f>
      </x:c>
    </x:row>
    <x:row r="63">
      <x:c r="A63" s="37"/>
      <x:c r="B63" s="37"/>
      <x:c r="C63" s="37"/>
      <x:c r="D63" s="37"/>
      <x:c r="E63" s="38"/>
      <x:c r="F63" s="37"/>
      <x:c r="G63" s="37"/>
      <x:c r="H63" s="37"/>
      <x:c r="I63" s="38"/>
      <x:c r="J63" s="38"/>
      <x:c r="K63" s="38"/>
      <x:c r="L63" s="38"/>
      <x:c r="M63" s="38"/>
      <x:c r="N63" s="38"/>
      <x:c r="O63" s="38"/>
      <x:c r="P63" s="38"/>
      <x:c r="Q63" s="38"/>
      <x:c r="R63" s="42" t="str">
        <x:f>IF(A63="","",IF(A63="跳过","跳过",IF(OR(B63="",LEN(C63)=0,LEN(D63)=0,F63="",G63="",H63=""),"缺少必填项",IF(COUNTIF('站点与CPU'!$B$5:$B$64,B63)=0,"站点ID不存在",IF(COUNTIFS($B$5:$B$124,B63,$C$5:$C$124,C63,$D$5:$D$124,D63,$E$5:$E$124,E63)&gt;1,"槽位重复",IF(AND(A63="克隆",P63=""),"缺少源模块名称","通过"))))))</x:f>
      </x:c>
    </x:row>
    <x:row r="64">
      <x:c r="A64" s="37"/>
      <x:c r="B64" s="37"/>
      <x:c r="C64" s="37"/>
      <x:c r="D64" s="37"/>
      <x:c r="E64" s="38"/>
      <x:c r="F64" s="37"/>
      <x:c r="G64" s="37"/>
      <x:c r="H64" s="37"/>
      <x:c r="I64" s="38"/>
      <x:c r="J64" s="38"/>
      <x:c r="K64" s="38"/>
      <x:c r="L64" s="38"/>
      <x:c r="M64" s="38"/>
      <x:c r="N64" s="38"/>
      <x:c r="O64" s="38"/>
      <x:c r="P64" s="38"/>
      <x:c r="Q64" s="38"/>
      <x:c r="R64" s="42" t="str">
        <x:f>IF(A64="","",IF(A64="跳过","跳过",IF(OR(B64="",LEN(C64)=0,LEN(D64)=0,F64="",G64="",H64=""),"缺少必填项",IF(COUNTIF('站点与CPU'!$B$5:$B$64,B64)=0,"站点ID不存在",IF(COUNTIFS($B$5:$B$124,B64,$C$5:$C$124,C64,$D$5:$D$124,D64,$E$5:$E$124,E64)&gt;1,"槽位重复",IF(AND(A64="克隆",P64=""),"缺少源模块名称","通过"))))))</x:f>
      </x:c>
    </x:row>
    <x:row r="65">
      <x:c r="A65" s="37"/>
      <x:c r="B65" s="37"/>
      <x:c r="C65" s="37"/>
      <x:c r="D65" s="37"/>
      <x:c r="E65" s="38"/>
      <x:c r="F65" s="37"/>
      <x:c r="G65" s="37"/>
      <x:c r="H65" s="37"/>
      <x:c r="I65" s="38"/>
      <x:c r="J65" s="38"/>
      <x:c r="K65" s="38"/>
      <x:c r="L65" s="38"/>
      <x:c r="M65" s="38"/>
      <x:c r="N65" s="38"/>
      <x:c r="O65" s="38"/>
      <x:c r="P65" s="38"/>
      <x:c r="Q65" s="38"/>
      <x:c r="R65" s="42" t="str">
        <x:f>IF(A65="","",IF(A65="跳过","跳过",IF(OR(B65="",LEN(C65)=0,LEN(D65)=0,F65="",G65="",H65=""),"缺少必填项",IF(COUNTIF('站点与CPU'!$B$5:$B$64,B65)=0,"站点ID不存在",IF(COUNTIFS($B$5:$B$124,B65,$C$5:$C$124,C65,$D$5:$D$124,D65,$E$5:$E$124,E65)&gt;1,"槽位重复",IF(AND(A65="克隆",P65=""),"缺少源模块名称","通过"))))))</x:f>
      </x:c>
    </x:row>
    <x:row r="66">
      <x:c r="A66" s="37"/>
      <x:c r="B66" s="37"/>
      <x:c r="C66" s="37"/>
      <x:c r="D66" s="37"/>
      <x:c r="E66" s="38"/>
      <x:c r="F66" s="37"/>
      <x:c r="G66" s="37"/>
      <x:c r="H66" s="37"/>
      <x:c r="I66" s="38"/>
      <x:c r="J66" s="38"/>
      <x:c r="K66" s="38"/>
      <x:c r="L66" s="38"/>
      <x:c r="M66" s="38"/>
      <x:c r="N66" s="38"/>
      <x:c r="O66" s="38"/>
      <x:c r="P66" s="38"/>
      <x:c r="Q66" s="38"/>
      <x:c r="R66" s="42" t="str">
        <x:f>IF(A66="","",IF(A66="跳过","跳过",IF(OR(B66="",LEN(C66)=0,LEN(D66)=0,F66="",G66="",H66=""),"缺少必填项",IF(COUNTIF('站点与CPU'!$B$5:$B$64,B66)=0,"站点ID不存在",IF(COUNTIFS($B$5:$B$124,B66,$C$5:$C$124,C66,$D$5:$D$124,D66,$E$5:$E$124,E66)&gt;1,"槽位重复",IF(AND(A66="克隆",P66=""),"缺少源模块名称","通过"))))))</x:f>
      </x:c>
    </x:row>
    <x:row r="67">
      <x:c r="A67" s="37"/>
      <x:c r="B67" s="37"/>
      <x:c r="C67" s="37"/>
      <x:c r="D67" s="37"/>
      <x:c r="E67" s="38"/>
      <x:c r="F67" s="37"/>
      <x:c r="G67" s="37"/>
      <x:c r="H67" s="37"/>
      <x:c r="I67" s="38"/>
      <x:c r="J67" s="38"/>
      <x:c r="K67" s="38"/>
      <x:c r="L67" s="38"/>
      <x:c r="M67" s="38"/>
      <x:c r="N67" s="38"/>
      <x:c r="O67" s="38"/>
      <x:c r="P67" s="38"/>
      <x:c r="Q67" s="38"/>
      <x:c r="R67" s="42" t="str">
        <x:f>IF(A67="","",IF(A67="跳过","跳过",IF(OR(B67="",LEN(C67)=0,LEN(D67)=0,F67="",G67="",H67=""),"缺少必填项",IF(COUNTIF('站点与CPU'!$B$5:$B$64,B67)=0,"站点ID不存在",IF(COUNTIFS($B$5:$B$124,B67,$C$5:$C$124,C67,$D$5:$D$124,D67,$E$5:$E$124,E67)&gt;1,"槽位重复",IF(AND(A67="克隆",P67=""),"缺少源模块名称","通过"))))))</x:f>
      </x:c>
    </x:row>
    <x:row r="68">
      <x:c r="A68" s="37"/>
      <x:c r="B68" s="37"/>
      <x:c r="C68" s="37"/>
      <x:c r="D68" s="37"/>
      <x:c r="E68" s="38"/>
      <x:c r="F68" s="37"/>
      <x:c r="G68" s="37"/>
      <x:c r="H68" s="37"/>
      <x:c r="I68" s="38"/>
      <x:c r="J68" s="38"/>
      <x:c r="K68" s="38"/>
      <x:c r="L68" s="38"/>
      <x:c r="M68" s="38"/>
      <x:c r="N68" s="38"/>
      <x:c r="O68" s="38"/>
      <x:c r="P68" s="38"/>
      <x:c r="Q68" s="38"/>
      <x:c r="R68" s="42" t="str">
        <x:f>IF(A68="","",IF(A68="跳过","跳过",IF(OR(B68="",LEN(C68)=0,LEN(D68)=0,F68="",G68="",H68=""),"缺少必填项",IF(COUNTIF('站点与CPU'!$B$5:$B$64,B68)=0,"站点ID不存在",IF(COUNTIFS($B$5:$B$124,B68,$C$5:$C$124,C68,$D$5:$D$124,D68,$E$5:$E$124,E68)&gt;1,"槽位重复",IF(AND(A68="克隆",P68=""),"缺少源模块名称","通过"))))))</x:f>
      </x:c>
    </x:row>
    <x:row r="69">
      <x:c r="A69" s="37"/>
      <x:c r="B69" s="37"/>
      <x:c r="C69" s="37"/>
      <x:c r="D69" s="37"/>
      <x:c r="E69" s="38"/>
      <x:c r="F69" s="37"/>
      <x:c r="G69" s="37"/>
      <x:c r="H69" s="37"/>
      <x:c r="I69" s="38"/>
      <x:c r="J69" s="38"/>
      <x:c r="K69" s="38"/>
      <x:c r="L69" s="38"/>
      <x:c r="M69" s="38"/>
      <x:c r="N69" s="38"/>
      <x:c r="O69" s="38"/>
      <x:c r="P69" s="38"/>
      <x:c r="Q69" s="38"/>
      <x:c r="R69" s="42" t="str">
        <x:f>IF(A69="","",IF(A69="跳过","跳过",IF(OR(B69="",LEN(C69)=0,LEN(D69)=0,F69="",G69="",H69=""),"缺少必填项",IF(COUNTIF('站点与CPU'!$B$5:$B$64,B69)=0,"站点ID不存在",IF(COUNTIFS($B$5:$B$124,B69,$C$5:$C$124,C69,$D$5:$D$124,D69,$E$5:$E$124,E69)&gt;1,"槽位重复",IF(AND(A69="克隆",P69=""),"缺少源模块名称","通过"))))))</x:f>
      </x:c>
    </x:row>
    <x:row r="70">
      <x:c r="A70" s="37"/>
      <x:c r="B70" s="37"/>
      <x:c r="C70" s="37"/>
      <x:c r="D70" s="37"/>
      <x:c r="E70" s="38"/>
      <x:c r="F70" s="37"/>
      <x:c r="G70" s="37"/>
      <x:c r="H70" s="37"/>
      <x:c r="I70" s="38"/>
      <x:c r="J70" s="38"/>
      <x:c r="K70" s="38"/>
      <x:c r="L70" s="38"/>
      <x:c r="M70" s="38"/>
      <x:c r="N70" s="38"/>
      <x:c r="O70" s="38"/>
      <x:c r="P70" s="38"/>
      <x:c r="Q70" s="38"/>
      <x:c r="R70" s="42" t="str">
        <x:f>IF(A70="","",IF(A70="跳过","跳过",IF(OR(B70="",LEN(C70)=0,LEN(D70)=0,F70="",G70="",H70=""),"缺少必填项",IF(COUNTIF('站点与CPU'!$B$5:$B$64,B70)=0,"站点ID不存在",IF(COUNTIFS($B$5:$B$124,B70,$C$5:$C$124,C70,$D$5:$D$124,D70,$E$5:$E$124,E70)&gt;1,"槽位重复",IF(AND(A70="克隆",P70=""),"缺少源模块名称","通过"))))))</x:f>
      </x:c>
    </x:row>
    <x:row r="71">
      <x:c r="A71" s="37"/>
      <x:c r="B71" s="37"/>
      <x:c r="C71" s="37"/>
      <x:c r="D71" s="37"/>
      <x:c r="E71" s="38"/>
      <x:c r="F71" s="37"/>
      <x:c r="G71" s="37"/>
      <x:c r="H71" s="37"/>
      <x:c r="I71" s="38"/>
      <x:c r="J71" s="38"/>
      <x:c r="K71" s="38"/>
      <x:c r="L71" s="38"/>
      <x:c r="M71" s="38"/>
      <x:c r="N71" s="38"/>
      <x:c r="O71" s="38"/>
      <x:c r="P71" s="38"/>
      <x:c r="Q71" s="38"/>
      <x:c r="R71" s="42" t="str">
        <x:f>IF(A71="","",IF(A71="跳过","跳过",IF(OR(B71="",LEN(C71)=0,LEN(D71)=0,F71="",G71="",H71=""),"缺少必填项",IF(COUNTIF('站点与CPU'!$B$5:$B$64,B71)=0,"站点ID不存在",IF(COUNTIFS($B$5:$B$124,B71,$C$5:$C$124,C71,$D$5:$D$124,D71,$E$5:$E$124,E71)&gt;1,"槽位重复",IF(AND(A71="克隆",P71=""),"缺少源模块名称","通过"))))))</x:f>
      </x:c>
    </x:row>
    <x:row r="72">
      <x:c r="A72" s="37"/>
      <x:c r="B72" s="37"/>
      <x:c r="C72" s="37"/>
      <x:c r="D72" s="37"/>
      <x:c r="E72" s="38"/>
      <x:c r="F72" s="37"/>
      <x:c r="G72" s="37"/>
      <x:c r="H72" s="37"/>
      <x:c r="I72" s="38"/>
      <x:c r="J72" s="38"/>
      <x:c r="K72" s="38"/>
      <x:c r="L72" s="38"/>
      <x:c r="M72" s="38"/>
      <x:c r="N72" s="38"/>
      <x:c r="O72" s="38"/>
      <x:c r="P72" s="38"/>
      <x:c r="Q72" s="38"/>
      <x:c r="R72" s="42" t="str">
        <x:f>IF(A72="","",IF(A72="跳过","跳过",IF(OR(B72="",LEN(C72)=0,LEN(D72)=0,F72="",G72="",H72=""),"缺少必填项",IF(COUNTIF('站点与CPU'!$B$5:$B$64,B72)=0,"站点ID不存在",IF(COUNTIFS($B$5:$B$124,B72,$C$5:$C$124,C72,$D$5:$D$124,D72,$E$5:$E$124,E72)&gt;1,"槽位重复",IF(AND(A72="克隆",P72=""),"缺少源模块名称","通过"))))))</x:f>
      </x:c>
    </x:row>
    <x:row r="73">
      <x:c r="A73" s="37"/>
      <x:c r="B73" s="37"/>
      <x:c r="C73" s="37"/>
      <x:c r="D73" s="37"/>
      <x:c r="E73" s="38"/>
      <x:c r="F73" s="37"/>
      <x:c r="G73" s="37"/>
      <x:c r="H73" s="37"/>
      <x:c r="I73" s="38"/>
      <x:c r="J73" s="38"/>
      <x:c r="K73" s="38"/>
      <x:c r="L73" s="38"/>
      <x:c r="M73" s="38"/>
      <x:c r="N73" s="38"/>
      <x:c r="O73" s="38"/>
      <x:c r="P73" s="38"/>
      <x:c r="Q73" s="38"/>
      <x:c r="R73" s="42" t="str">
        <x:f>IF(A73="","",IF(A73="跳过","跳过",IF(OR(B73="",LEN(C73)=0,LEN(D73)=0,F73="",G73="",H73=""),"缺少必填项",IF(COUNTIF('站点与CPU'!$B$5:$B$64,B73)=0,"站点ID不存在",IF(COUNTIFS($B$5:$B$124,B73,$C$5:$C$124,C73,$D$5:$D$124,D73,$E$5:$E$124,E73)&gt;1,"槽位重复",IF(AND(A73="克隆",P73=""),"缺少源模块名称","通过"))))))</x:f>
      </x:c>
    </x:row>
    <x:row r="74">
      <x:c r="A74" s="37"/>
      <x:c r="B74" s="37"/>
      <x:c r="C74" s="37"/>
      <x:c r="D74" s="37"/>
      <x:c r="E74" s="38"/>
      <x:c r="F74" s="37"/>
      <x:c r="G74" s="37"/>
      <x:c r="H74" s="37"/>
      <x:c r="I74" s="38"/>
      <x:c r="J74" s="38"/>
      <x:c r="K74" s="38"/>
      <x:c r="L74" s="38"/>
      <x:c r="M74" s="38"/>
      <x:c r="N74" s="38"/>
      <x:c r="O74" s="38"/>
      <x:c r="P74" s="38"/>
      <x:c r="Q74" s="38"/>
      <x:c r="R74" s="42" t="str">
        <x:f>IF(A74="","",IF(A74="跳过","跳过",IF(OR(B74="",LEN(C74)=0,LEN(D74)=0,F74="",G74="",H74=""),"缺少必填项",IF(COUNTIF('站点与CPU'!$B$5:$B$64,B74)=0,"站点ID不存在",IF(COUNTIFS($B$5:$B$124,B74,$C$5:$C$124,C74,$D$5:$D$124,D74,$E$5:$E$124,E74)&gt;1,"槽位重复",IF(AND(A74="克隆",P74=""),"缺少源模块名称","通过"))))))</x:f>
      </x:c>
    </x:row>
    <x:row r="75">
      <x:c r="A75" s="37"/>
      <x:c r="B75" s="37"/>
      <x:c r="C75" s="37"/>
      <x:c r="D75" s="37"/>
      <x:c r="E75" s="38"/>
      <x:c r="F75" s="37"/>
      <x:c r="G75" s="37"/>
      <x:c r="H75" s="37"/>
      <x:c r="I75" s="38"/>
      <x:c r="J75" s="38"/>
      <x:c r="K75" s="38"/>
      <x:c r="L75" s="38"/>
      <x:c r="M75" s="38"/>
      <x:c r="N75" s="38"/>
      <x:c r="O75" s="38"/>
      <x:c r="P75" s="38"/>
      <x:c r="Q75" s="38"/>
      <x:c r="R75" s="42" t="str">
        <x:f>IF(A75="","",IF(A75="跳过","跳过",IF(OR(B75="",LEN(C75)=0,LEN(D75)=0,F75="",G75="",H75=""),"缺少必填项",IF(COUNTIF('站点与CPU'!$B$5:$B$64,B75)=0,"站点ID不存在",IF(COUNTIFS($B$5:$B$124,B75,$C$5:$C$124,C75,$D$5:$D$124,D75,$E$5:$E$124,E75)&gt;1,"槽位重复",IF(AND(A75="克隆",P75=""),"缺少源模块名称","通过"))))))</x:f>
      </x:c>
    </x:row>
    <x:row r="76">
      <x:c r="A76" s="37"/>
      <x:c r="B76" s="37"/>
      <x:c r="C76" s="37"/>
      <x:c r="D76" s="37"/>
      <x:c r="E76" s="38"/>
      <x:c r="F76" s="37"/>
      <x:c r="G76" s="37"/>
      <x:c r="H76" s="37"/>
      <x:c r="I76" s="38"/>
      <x:c r="J76" s="38"/>
      <x:c r="K76" s="38"/>
      <x:c r="L76" s="38"/>
      <x:c r="M76" s="38"/>
      <x:c r="N76" s="38"/>
      <x:c r="O76" s="38"/>
      <x:c r="P76" s="38"/>
      <x:c r="Q76" s="38"/>
      <x:c r="R76" s="42" t="str">
        <x:f>IF(A76="","",IF(A76="跳过","跳过",IF(OR(B76="",LEN(C76)=0,LEN(D76)=0,F76="",G76="",H76=""),"缺少必填项",IF(COUNTIF('站点与CPU'!$B$5:$B$64,B76)=0,"站点ID不存在",IF(COUNTIFS($B$5:$B$124,B76,$C$5:$C$124,C76,$D$5:$D$124,D76,$E$5:$E$124,E76)&gt;1,"槽位重复",IF(AND(A76="克隆",P76=""),"缺少源模块名称","通过"))))))</x:f>
      </x:c>
    </x:row>
    <x:row r="77">
      <x:c r="A77" s="37"/>
      <x:c r="B77" s="37"/>
      <x:c r="C77" s="37"/>
      <x:c r="D77" s="37"/>
      <x:c r="E77" s="38"/>
      <x:c r="F77" s="37"/>
      <x:c r="G77" s="37"/>
      <x:c r="H77" s="37"/>
      <x:c r="I77" s="38"/>
      <x:c r="J77" s="38"/>
      <x:c r="K77" s="38"/>
      <x:c r="L77" s="38"/>
      <x:c r="M77" s="38"/>
      <x:c r="N77" s="38"/>
      <x:c r="O77" s="38"/>
      <x:c r="P77" s="38"/>
      <x:c r="Q77" s="38"/>
      <x:c r="R77" s="42" t="str">
        <x:f>IF(A77="","",IF(A77="跳过","跳过",IF(OR(B77="",LEN(C77)=0,LEN(D77)=0,F77="",G77="",H77=""),"缺少必填项",IF(COUNTIF('站点与CPU'!$B$5:$B$64,B77)=0,"站点ID不存在",IF(COUNTIFS($B$5:$B$124,B77,$C$5:$C$124,C77,$D$5:$D$124,D77,$E$5:$E$124,E77)&gt;1,"槽位重复",IF(AND(A77="克隆",P77=""),"缺少源模块名称","通过"))))))</x:f>
      </x:c>
    </x:row>
    <x:row r="78">
      <x:c r="A78" s="37"/>
      <x:c r="B78" s="37"/>
      <x:c r="C78" s="37"/>
      <x:c r="D78" s="37"/>
      <x:c r="E78" s="38"/>
      <x:c r="F78" s="37"/>
      <x:c r="G78" s="37"/>
      <x:c r="H78" s="37"/>
      <x:c r="I78" s="38"/>
      <x:c r="J78" s="38"/>
      <x:c r="K78" s="38"/>
      <x:c r="L78" s="38"/>
      <x:c r="M78" s="38"/>
      <x:c r="N78" s="38"/>
      <x:c r="O78" s="38"/>
      <x:c r="P78" s="38"/>
      <x:c r="Q78" s="38"/>
      <x:c r="R78" s="42" t="str">
        <x:f>IF(A78="","",IF(A78="跳过","跳过",IF(OR(B78="",LEN(C78)=0,LEN(D78)=0,F78="",G78="",H78=""),"缺少必填项",IF(COUNTIF('站点与CPU'!$B$5:$B$64,B78)=0,"站点ID不存在",IF(COUNTIFS($B$5:$B$124,B78,$C$5:$C$124,C78,$D$5:$D$124,D78,$E$5:$E$124,E78)&gt;1,"槽位重复",IF(AND(A78="克隆",P78=""),"缺少源模块名称","通过"))))))</x:f>
      </x:c>
    </x:row>
    <x:row r="79">
      <x:c r="A79" s="37"/>
      <x:c r="B79" s="37"/>
      <x:c r="C79" s="37"/>
      <x:c r="D79" s="37"/>
      <x:c r="E79" s="38"/>
      <x:c r="F79" s="37"/>
      <x:c r="G79" s="37"/>
      <x:c r="H79" s="37"/>
      <x:c r="I79" s="38"/>
      <x:c r="J79" s="38"/>
      <x:c r="K79" s="38"/>
      <x:c r="L79" s="38"/>
      <x:c r="M79" s="38"/>
      <x:c r="N79" s="38"/>
      <x:c r="O79" s="38"/>
      <x:c r="P79" s="38"/>
      <x:c r="Q79" s="38"/>
      <x:c r="R79" s="42" t="str">
        <x:f>IF(A79="","",IF(A79="跳过","跳过",IF(OR(B79="",LEN(C79)=0,LEN(D79)=0,F79="",G79="",H79=""),"缺少必填项",IF(COUNTIF('站点与CPU'!$B$5:$B$64,B79)=0,"站点ID不存在",IF(COUNTIFS($B$5:$B$124,B79,$C$5:$C$124,C79,$D$5:$D$124,D79,$E$5:$E$124,E79)&gt;1,"槽位重复",IF(AND(A79="克隆",P79=""),"缺少源模块名称","通过"))))))</x:f>
      </x:c>
    </x:row>
    <x:row r="80">
      <x:c r="A80" s="37"/>
      <x:c r="B80" s="37"/>
      <x:c r="C80" s="37"/>
      <x:c r="D80" s="37"/>
      <x:c r="E80" s="38"/>
      <x:c r="F80" s="37"/>
      <x:c r="G80" s="37"/>
      <x:c r="H80" s="37"/>
      <x:c r="I80" s="38"/>
      <x:c r="J80" s="38"/>
      <x:c r="K80" s="38"/>
      <x:c r="L80" s="38"/>
      <x:c r="M80" s="38"/>
      <x:c r="N80" s="38"/>
      <x:c r="O80" s="38"/>
      <x:c r="P80" s="38"/>
      <x:c r="Q80" s="38"/>
      <x:c r="R80" s="42" t="str">
        <x:f>IF(A80="","",IF(A80="跳过","跳过",IF(OR(B80="",LEN(C80)=0,LEN(D80)=0,F80="",G80="",H80=""),"缺少必填项",IF(COUNTIF('站点与CPU'!$B$5:$B$64,B80)=0,"站点ID不存在",IF(COUNTIFS($B$5:$B$124,B80,$C$5:$C$124,C80,$D$5:$D$124,D80,$E$5:$E$124,E80)&gt;1,"槽位重复",IF(AND(A80="克隆",P80=""),"缺少源模块名称","通过"))))))</x:f>
      </x:c>
    </x:row>
    <x:row r="81">
      <x:c r="A81" s="37"/>
      <x:c r="B81" s="37"/>
      <x:c r="C81" s="37"/>
      <x:c r="D81" s="37"/>
      <x:c r="E81" s="38"/>
      <x:c r="F81" s="37"/>
      <x:c r="G81" s="37"/>
      <x:c r="H81" s="37"/>
      <x:c r="I81" s="38"/>
      <x:c r="J81" s="38"/>
      <x:c r="K81" s="38"/>
      <x:c r="L81" s="38"/>
      <x:c r="M81" s="38"/>
      <x:c r="N81" s="38"/>
      <x:c r="O81" s="38"/>
      <x:c r="P81" s="38"/>
      <x:c r="Q81" s="38"/>
      <x:c r="R81" s="42" t="str">
        <x:f>IF(A81="","",IF(A81="跳过","跳过",IF(OR(B81="",LEN(C81)=0,LEN(D81)=0,F81="",G81="",H81=""),"缺少必填项",IF(COUNTIF('站点与CPU'!$B$5:$B$64,B81)=0,"站点ID不存在",IF(COUNTIFS($B$5:$B$124,B81,$C$5:$C$124,C81,$D$5:$D$124,D81,$E$5:$E$124,E81)&gt;1,"槽位重复",IF(AND(A81="克隆",P81=""),"缺少源模块名称","通过"))))))</x:f>
      </x:c>
    </x:row>
    <x:row r="82">
      <x:c r="A82" s="37"/>
      <x:c r="B82" s="37"/>
      <x:c r="C82" s="37"/>
      <x:c r="D82" s="37"/>
      <x:c r="E82" s="38"/>
      <x:c r="F82" s="37"/>
      <x:c r="G82" s="37"/>
      <x:c r="H82" s="37"/>
      <x:c r="I82" s="38"/>
      <x:c r="J82" s="38"/>
      <x:c r="K82" s="38"/>
      <x:c r="L82" s="38"/>
      <x:c r="M82" s="38"/>
      <x:c r="N82" s="38"/>
      <x:c r="O82" s="38"/>
      <x:c r="P82" s="38"/>
      <x:c r="Q82" s="38"/>
      <x:c r="R82" s="42" t="str">
        <x:f>IF(A82="","",IF(A82="跳过","跳过",IF(OR(B82="",LEN(C82)=0,LEN(D82)=0,F82="",G82="",H82=""),"缺少必填项",IF(COUNTIF('站点与CPU'!$B$5:$B$64,B82)=0,"站点ID不存在",IF(COUNTIFS($B$5:$B$124,B82,$C$5:$C$124,C82,$D$5:$D$124,D82,$E$5:$E$124,E82)&gt;1,"槽位重复",IF(AND(A82="克隆",P82=""),"缺少源模块名称","通过"))))))</x:f>
      </x:c>
    </x:row>
    <x:row r="83">
      <x:c r="A83" s="37"/>
      <x:c r="B83" s="37"/>
      <x:c r="C83" s="37"/>
      <x:c r="D83" s="37"/>
      <x:c r="E83" s="38"/>
      <x:c r="F83" s="37"/>
      <x:c r="G83" s="37"/>
      <x:c r="H83" s="37"/>
      <x:c r="I83" s="38"/>
      <x:c r="J83" s="38"/>
      <x:c r="K83" s="38"/>
      <x:c r="L83" s="38"/>
      <x:c r="M83" s="38"/>
      <x:c r="N83" s="38"/>
      <x:c r="O83" s="38"/>
      <x:c r="P83" s="38"/>
      <x:c r="Q83" s="38"/>
      <x:c r="R83" s="42" t="str">
        <x:f>IF(A83="","",IF(A83="跳过","跳过",IF(OR(B83="",LEN(C83)=0,LEN(D83)=0,F83="",G83="",H83=""),"缺少必填项",IF(COUNTIF('站点与CPU'!$B$5:$B$64,B83)=0,"站点ID不存在",IF(COUNTIFS($B$5:$B$124,B83,$C$5:$C$124,C83,$D$5:$D$124,D83,$E$5:$E$124,E83)&gt;1,"槽位重复",IF(AND(A83="克隆",P83=""),"缺少源模块名称","通过"))))))</x:f>
      </x:c>
    </x:row>
    <x:row r="84">
      <x:c r="A84" s="37"/>
      <x:c r="B84" s="37"/>
      <x:c r="C84" s="37"/>
      <x:c r="D84" s="37"/>
      <x:c r="E84" s="38"/>
      <x:c r="F84" s="37"/>
      <x:c r="G84" s="37"/>
      <x:c r="H84" s="37"/>
      <x:c r="I84" s="38"/>
      <x:c r="J84" s="38"/>
      <x:c r="K84" s="38"/>
      <x:c r="L84" s="38"/>
      <x:c r="M84" s="38"/>
      <x:c r="N84" s="38"/>
      <x:c r="O84" s="38"/>
      <x:c r="P84" s="38"/>
      <x:c r="Q84" s="38"/>
      <x:c r="R84" s="42" t="str">
        <x:f>IF(A84="","",IF(A84="跳过","跳过",IF(OR(B84="",LEN(C84)=0,LEN(D84)=0,F84="",G84="",H84=""),"缺少必填项",IF(COUNTIF('站点与CPU'!$B$5:$B$64,B84)=0,"站点ID不存在",IF(COUNTIFS($B$5:$B$124,B84,$C$5:$C$124,C84,$D$5:$D$124,D84,$E$5:$E$124,E84)&gt;1,"槽位重复",IF(AND(A84="克隆",P84=""),"缺少源模块名称","通过"))))))</x:f>
      </x:c>
    </x:row>
    <x:row r="85">
      <x:c r="A85" s="37"/>
      <x:c r="B85" s="37"/>
      <x:c r="C85" s="37"/>
      <x:c r="D85" s="37"/>
      <x:c r="E85" s="38"/>
      <x:c r="F85" s="37"/>
      <x:c r="G85" s="37"/>
      <x:c r="H85" s="37"/>
      <x:c r="I85" s="38"/>
      <x:c r="J85" s="38"/>
      <x:c r="K85" s="38"/>
      <x:c r="L85" s="38"/>
      <x:c r="M85" s="38"/>
      <x:c r="N85" s="38"/>
      <x:c r="O85" s="38"/>
      <x:c r="P85" s="38"/>
      <x:c r="Q85" s="38"/>
      <x:c r="R85" s="42" t="str">
        <x:f>IF(A85="","",IF(A85="跳过","跳过",IF(OR(B85="",LEN(C85)=0,LEN(D85)=0,F85="",G85="",H85=""),"缺少必填项",IF(COUNTIF('站点与CPU'!$B$5:$B$64,B85)=0,"站点ID不存在",IF(COUNTIFS($B$5:$B$124,B85,$C$5:$C$124,C85,$D$5:$D$124,D85,$E$5:$E$124,E85)&gt;1,"槽位重复",IF(AND(A85="克隆",P85=""),"缺少源模块名称","通过"))))))</x:f>
      </x:c>
    </x:row>
    <x:row r="86">
      <x:c r="A86" s="37"/>
      <x:c r="B86" s="37"/>
      <x:c r="C86" s="37"/>
      <x:c r="D86" s="37"/>
      <x:c r="E86" s="38"/>
      <x:c r="F86" s="37"/>
      <x:c r="G86" s="37"/>
      <x:c r="H86" s="37"/>
      <x:c r="I86" s="38"/>
      <x:c r="J86" s="38"/>
      <x:c r="K86" s="38"/>
      <x:c r="L86" s="38"/>
      <x:c r="M86" s="38"/>
      <x:c r="N86" s="38"/>
      <x:c r="O86" s="38"/>
      <x:c r="P86" s="38"/>
      <x:c r="Q86" s="38"/>
      <x:c r="R86" s="42" t="str">
        <x:f>IF(A86="","",IF(A86="跳过","跳过",IF(OR(B86="",LEN(C86)=0,LEN(D86)=0,F86="",G86="",H86=""),"缺少必填项",IF(COUNTIF('站点与CPU'!$B$5:$B$64,B86)=0,"站点ID不存在",IF(COUNTIFS($B$5:$B$124,B86,$C$5:$C$124,C86,$D$5:$D$124,D86,$E$5:$E$124,E86)&gt;1,"槽位重复",IF(AND(A86="克隆",P86=""),"缺少源模块名称","通过"))))))</x:f>
      </x:c>
    </x:row>
    <x:row r="87">
      <x:c r="A87" s="37"/>
      <x:c r="B87" s="37"/>
      <x:c r="C87" s="37"/>
      <x:c r="D87" s="37"/>
      <x:c r="E87" s="38"/>
      <x:c r="F87" s="37"/>
      <x:c r="G87" s="37"/>
      <x:c r="H87" s="37"/>
      <x:c r="I87" s="38"/>
      <x:c r="J87" s="38"/>
      <x:c r="K87" s="38"/>
      <x:c r="L87" s="38"/>
      <x:c r="M87" s="38"/>
      <x:c r="N87" s="38"/>
      <x:c r="O87" s="38"/>
      <x:c r="P87" s="38"/>
      <x:c r="Q87" s="38"/>
      <x:c r="R87" s="42" t="str">
        <x:f>IF(A87="","",IF(A87="跳过","跳过",IF(OR(B87="",LEN(C87)=0,LEN(D87)=0,F87="",G87="",H87=""),"缺少必填项",IF(COUNTIF('站点与CPU'!$B$5:$B$64,B87)=0,"站点ID不存在",IF(COUNTIFS($B$5:$B$124,B87,$C$5:$C$124,C87,$D$5:$D$124,D87,$E$5:$E$124,E87)&gt;1,"槽位重复",IF(AND(A87="克隆",P87=""),"缺少源模块名称","通过"))))))</x:f>
      </x:c>
    </x:row>
    <x:row r="88">
      <x:c r="A88" s="37"/>
      <x:c r="B88" s="37"/>
      <x:c r="C88" s="37"/>
      <x:c r="D88" s="37"/>
      <x:c r="E88" s="38"/>
      <x:c r="F88" s="37"/>
      <x:c r="G88" s="37"/>
      <x:c r="H88" s="37"/>
      <x:c r="I88" s="38"/>
      <x:c r="J88" s="38"/>
      <x:c r="K88" s="38"/>
      <x:c r="L88" s="38"/>
      <x:c r="M88" s="38"/>
      <x:c r="N88" s="38"/>
      <x:c r="O88" s="38"/>
      <x:c r="P88" s="38"/>
      <x:c r="Q88" s="38"/>
      <x:c r="R88" s="42" t="str">
        <x:f>IF(A88="","",IF(A88="跳过","跳过",IF(OR(B88="",LEN(C88)=0,LEN(D88)=0,F88="",G88="",H88=""),"缺少必填项",IF(COUNTIF('站点与CPU'!$B$5:$B$64,B88)=0,"站点ID不存在",IF(COUNTIFS($B$5:$B$124,B88,$C$5:$C$124,C88,$D$5:$D$124,D88,$E$5:$E$124,E88)&gt;1,"槽位重复",IF(AND(A88="克隆",P88=""),"缺少源模块名称","通过"))))))</x:f>
      </x:c>
    </x:row>
    <x:row r="89">
      <x:c r="A89" s="37"/>
      <x:c r="B89" s="37"/>
      <x:c r="C89" s="37"/>
      <x:c r="D89" s="37"/>
      <x:c r="E89" s="38"/>
      <x:c r="F89" s="37"/>
      <x:c r="G89" s="37"/>
      <x:c r="H89" s="37"/>
      <x:c r="I89" s="38"/>
      <x:c r="J89" s="38"/>
      <x:c r="K89" s="38"/>
      <x:c r="L89" s="38"/>
      <x:c r="M89" s="38"/>
      <x:c r="N89" s="38"/>
      <x:c r="O89" s="38"/>
      <x:c r="P89" s="38"/>
      <x:c r="Q89" s="38"/>
      <x:c r="R89" s="42" t="str">
        <x:f>IF(A89="","",IF(A89="跳过","跳过",IF(OR(B89="",LEN(C89)=0,LEN(D89)=0,F89="",G89="",H89=""),"缺少必填项",IF(COUNTIF('站点与CPU'!$B$5:$B$64,B89)=0,"站点ID不存在",IF(COUNTIFS($B$5:$B$124,B89,$C$5:$C$124,C89,$D$5:$D$124,D89,$E$5:$E$124,E89)&gt;1,"槽位重复",IF(AND(A89="克隆",P89=""),"缺少源模块名称","通过"))))))</x:f>
      </x:c>
    </x:row>
    <x:row r="90">
      <x:c r="A90" s="37"/>
      <x:c r="B90" s="37"/>
      <x:c r="C90" s="37"/>
      <x:c r="D90" s="37"/>
      <x:c r="E90" s="38"/>
      <x:c r="F90" s="37"/>
      <x:c r="G90" s="37"/>
      <x:c r="H90" s="37"/>
      <x:c r="I90" s="38"/>
      <x:c r="J90" s="38"/>
      <x:c r="K90" s="38"/>
      <x:c r="L90" s="38"/>
      <x:c r="M90" s="38"/>
      <x:c r="N90" s="38"/>
      <x:c r="O90" s="38"/>
      <x:c r="P90" s="38"/>
      <x:c r="Q90" s="38"/>
      <x:c r="R90" s="42" t="str">
        <x:f>IF(A90="","",IF(A90="跳过","跳过",IF(OR(B90="",LEN(C90)=0,LEN(D90)=0,F90="",G90="",H90=""),"缺少必填项",IF(COUNTIF('站点与CPU'!$B$5:$B$64,B90)=0,"站点ID不存在",IF(COUNTIFS($B$5:$B$124,B90,$C$5:$C$124,C90,$D$5:$D$124,D90,$E$5:$E$124,E90)&gt;1,"槽位重复",IF(AND(A90="克隆",P90=""),"缺少源模块名称","通过"))))))</x:f>
      </x:c>
    </x:row>
    <x:row r="91">
      <x:c r="A91" s="37"/>
      <x:c r="B91" s="37"/>
      <x:c r="C91" s="37"/>
      <x:c r="D91" s="37"/>
      <x:c r="E91" s="38"/>
      <x:c r="F91" s="37"/>
      <x:c r="G91" s="37"/>
      <x:c r="H91" s="37"/>
      <x:c r="I91" s="38"/>
      <x:c r="J91" s="38"/>
      <x:c r="K91" s="38"/>
      <x:c r="L91" s="38"/>
      <x:c r="M91" s="38"/>
      <x:c r="N91" s="38"/>
      <x:c r="O91" s="38"/>
      <x:c r="P91" s="38"/>
      <x:c r="Q91" s="38"/>
      <x:c r="R91" s="42" t="str">
        <x:f>IF(A91="","",IF(A91="跳过","跳过",IF(OR(B91="",LEN(C91)=0,LEN(D91)=0,F91="",G91="",H91=""),"缺少必填项",IF(COUNTIF('站点与CPU'!$B$5:$B$64,B91)=0,"站点ID不存在",IF(COUNTIFS($B$5:$B$124,B91,$C$5:$C$124,C91,$D$5:$D$124,D91,$E$5:$E$124,E91)&gt;1,"槽位重复",IF(AND(A91="克隆",P91=""),"缺少源模块名称","通过"))))))</x:f>
      </x:c>
    </x:row>
    <x:row r="92">
      <x:c r="A92" s="37"/>
      <x:c r="B92" s="37"/>
      <x:c r="C92" s="37"/>
      <x:c r="D92" s="37"/>
      <x:c r="E92" s="38"/>
      <x:c r="F92" s="37"/>
      <x:c r="G92" s="37"/>
      <x:c r="H92" s="37"/>
      <x:c r="I92" s="38"/>
      <x:c r="J92" s="38"/>
      <x:c r="K92" s="38"/>
      <x:c r="L92" s="38"/>
      <x:c r="M92" s="38"/>
      <x:c r="N92" s="38"/>
      <x:c r="O92" s="38"/>
      <x:c r="P92" s="38"/>
      <x:c r="Q92" s="38"/>
      <x:c r="R92" s="42" t="str">
        <x:f>IF(A92="","",IF(A92="跳过","跳过",IF(OR(B92="",LEN(C92)=0,LEN(D92)=0,F92="",G92="",H92=""),"缺少必填项",IF(COUNTIF('站点与CPU'!$B$5:$B$64,B92)=0,"站点ID不存在",IF(COUNTIFS($B$5:$B$124,B92,$C$5:$C$124,C92,$D$5:$D$124,D92,$E$5:$E$124,E92)&gt;1,"槽位重复",IF(AND(A92="克隆",P92=""),"缺少源模块名称","通过"))))))</x:f>
      </x:c>
    </x:row>
    <x:row r="93">
      <x:c r="A93" s="37"/>
      <x:c r="B93" s="37"/>
      <x:c r="C93" s="37"/>
      <x:c r="D93" s="37"/>
      <x:c r="E93" s="38"/>
      <x:c r="F93" s="37"/>
      <x:c r="G93" s="37"/>
      <x:c r="H93" s="37"/>
      <x:c r="I93" s="38"/>
      <x:c r="J93" s="38"/>
      <x:c r="K93" s="38"/>
      <x:c r="L93" s="38"/>
      <x:c r="M93" s="38"/>
      <x:c r="N93" s="38"/>
      <x:c r="O93" s="38"/>
      <x:c r="P93" s="38"/>
      <x:c r="Q93" s="38"/>
      <x:c r="R93" s="42" t="str">
        <x:f>IF(A93="","",IF(A93="跳过","跳过",IF(OR(B93="",LEN(C93)=0,LEN(D93)=0,F93="",G93="",H93=""),"缺少必填项",IF(COUNTIF('站点与CPU'!$B$5:$B$64,B93)=0,"站点ID不存在",IF(COUNTIFS($B$5:$B$124,B93,$C$5:$C$124,C93,$D$5:$D$124,D93,$E$5:$E$124,E93)&gt;1,"槽位重复",IF(AND(A93="克隆",P93=""),"缺少源模块名称","通过"))))))</x:f>
      </x:c>
    </x:row>
    <x:row r="94">
      <x:c r="A94" s="37"/>
      <x:c r="B94" s="37"/>
      <x:c r="C94" s="37"/>
      <x:c r="D94" s="37"/>
      <x:c r="E94" s="38"/>
      <x:c r="F94" s="37"/>
      <x:c r="G94" s="37"/>
      <x:c r="H94" s="37"/>
      <x:c r="I94" s="38"/>
      <x:c r="J94" s="38"/>
      <x:c r="K94" s="38"/>
      <x:c r="L94" s="38"/>
      <x:c r="M94" s="38"/>
      <x:c r="N94" s="38"/>
      <x:c r="O94" s="38"/>
      <x:c r="P94" s="38"/>
      <x:c r="Q94" s="38"/>
      <x:c r="R94" s="42" t="str">
        <x:f>IF(A94="","",IF(A94="跳过","跳过",IF(OR(B94="",LEN(C94)=0,LEN(D94)=0,F94="",G94="",H94=""),"缺少必填项",IF(COUNTIF('站点与CPU'!$B$5:$B$64,B94)=0,"站点ID不存在",IF(COUNTIFS($B$5:$B$124,B94,$C$5:$C$124,C94,$D$5:$D$124,D94,$E$5:$E$124,E94)&gt;1,"槽位重复",IF(AND(A94="克隆",P94=""),"缺少源模块名称","通过"))))))</x:f>
      </x:c>
    </x:row>
    <x:row r="95">
      <x:c r="A95" s="37"/>
      <x:c r="B95" s="37"/>
      <x:c r="C95" s="37"/>
      <x:c r="D95" s="37"/>
      <x:c r="E95" s="38"/>
      <x:c r="F95" s="37"/>
      <x:c r="G95" s="37"/>
      <x:c r="H95" s="37"/>
      <x:c r="I95" s="38"/>
      <x:c r="J95" s="38"/>
      <x:c r="K95" s="38"/>
      <x:c r="L95" s="38"/>
      <x:c r="M95" s="38"/>
      <x:c r="N95" s="38"/>
      <x:c r="O95" s="38"/>
      <x:c r="P95" s="38"/>
      <x:c r="Q95" s="38"/>
      <x:c r="R95" s="42" t="str">
        <x:f>IF(A95="","",IF(A95="跳过","跳过",IF(OR(B95="",LEN(C95)=0,LEN(D95)=0,F95="",G95="",H95=""),"缺少必填项",IF(COUNTIF('站点与CPU'!$B$5:$B$64,B95)=0,"站点ID不存在",IF(COUNTIFS($B$5:$B$124,B95,$C$5:$C$124,C95,$D$5:$D$124,D95,$E$5:$E$124,E95)&gt;1,"槽位重复",IF(AND(A95="克隆",P95=""),"缺少源模块名称","通过"))))))</x:f>
      </x:c>
    </x:row>
    <x:row r="96">
      <x:c r="A96" s="37"/>
      <x:c r="B96" s="37"/>
      <x:c r="C96" s="37"/>
      <x:c r="D96" s="37"/>
      <x:c r="E96" s="38"/>
      <x:c r="F96" s="37"/>
      <x:c r="G96" s="37"/>
      <x:c r="H96" s="37"/>
      <x:c r="I96" s="38"/>
      <x:c r="J96" s="38"/>
      <x:c r="K96" s="38"/>
      <x:c r="L96" s="38"/>
      <x:c r="M96" s="38"/>
      <x:c r="N96" s="38"/>
      <x:c r="O96" s="38"/>
      <x:c r="P96" s="38"/>
      <x:c r="Q96" s="38"/>
      <x:c r="R96" s="42" t="str">
        <x:f>IF(A96="","",IF(A96="跳过","跳过",IF(OR(B96="",LEN(C96)=0,LEN(D96)=0,F96="",G96="",H96=""),"缺少必填项",IF(COUNTIF('站点与CPU'!$B$5:$B$64,B96)=0,"站点ID不存在",IF(COUNTIFS($B$5:$B$124,B96,$C$5:$C$124,C96,$D$5:$D$124,D96,$E$5:$E$124,E96)&gt;1,"槽位重复",IF(AND(A96="克隆",P96=""),"缺少源模块名称","通过"))))))</x:f>
      </x:c>
    </x:row>
    <x:row r="97">
      <x:c r="A97" s="37"/>
      <x:c r="B97" s="37"/>
      <x:c r="C97" s="37"/>
      <x:c r="D97" s="37"/>
      <x:c r="E97" s="38"/>
      <x:c r="F97" s="37"/>
      <x:c r="G97" s="37"/>
      <x:c r="H97" s="37"/>
      <x:c r="I97" s="38"/>
      <x:c r="J97" s="38"/>
      <x:c r="K97" s="38"/>
      <x:c r="L97" s="38"/>
      <x:c r="M97" s="38"/>
      <x:c r="N97" s="38"/>
      <x:c r="O97" s="38"/>
      <x:c r="P97" s="38"/>
      <x:c r="Q97" s="38"/>
      <x:c r="R97" s="42" t="str">
        <x:f>IF(A97="","",IF(A97="跳过","跳过",IF(OR(B97="",LEN(C97)=0,LEN(D97)=0,F97="",G97="",H97=""),"缺少必填项",IF(COUNTIF('站点与CPU'!$B$5:$B$64,B97)=0,"站点ID不存在",IF(COUNTIFS($B$5:$B$124,B97,$C$5:$C$124,C97,$D$5:$D$124,D97,$E$5:$E$124,E97)&gt;1,"槽位重复",IF(AND(A97="克隆",P97=""),"缺少源模块名称","通过"))))))</x:f>
      </x:c>
    </x:row>
    <x:row r="98">
      <x:c r="A98" s="37"/>
      <x:c r="B98" s="37"/>
      <x:c r="C98" s="37"/>
      <x:c r="D98" s="37"/>
      <x:c r="E98" s="38"/>
      <x:c r="F98" s="37"/>
      <x:c r="G98" s="37"/>
      <x:c r="H98" s="37"/>
      <x:c r="I98" s="38"/>
      <x:c r="J98" s="38"/>
      <x:c r="K98" s="38"/>
      <x:c r="L98" s="38"/>
      <x:c r="M98" s="38"/>
      <x:c r="N98" s="38"/>
      <x:c r="O98" s="38"/>
      <x:c r="P98" s="38"/>
      <x:c r="Q98" s="38"/>
      <x:c r="R98" s="42" t="str">
        <x:f>IF(A98="","",IF(A98="跳过","跳过",IF(OR(B98="",LEN(C98)=0,LEN(D98)=0,F98="",G98="",H98=""),"缺少必填项",IF(COUNTIF('站点与CPU'!$B$5:$B$64,B98)=0,"站点ID不存在",IF(COUNTIFS($B$5:$B$124,B98,$C$5:$C$124,C98,$D$5:$D$124,D98,$E$5:$E$124,E98)&gt;1,"槽位重复",IF(AND(A98="克隆",P98=""),"缺少源模块名称","通过"))))))</x:f>
      </x:c>
    </x:row>
    <x:row r="99">
      <x:c r="A99" s="37"/>
      <x:c r="B99" s="37"/>
      <x:c r="C99" s="37"/>
      <x:c r="D99" s="37"/>
      <x:c r="E99" s="38"/>
      <x:c r="F99" s="37"/>
      <x:c r="G99" s="37"/>
      <x:c r="H99" s="37"/>
      <x:c r="I99" s="38"/>
      <x:c r="J99" s="38"/>
      <x:c r="K99" s="38"/>
      <x:c r="L99" s="38"/>
      <x:c r="M99" s="38"/>
      <x:c r="N99" s="38"/>
      <x:c r="O99" s="38"/>
      <x:c r="P99" s="38"/>
      <x:c r="Q99" s="38"/>
      <x:c r="R99" s="42" t="str">
        <x:f>IF(A99="","",IF(A99="跳过","跳过",IF(OR(B99="",LEN(C99)=0,LEN(D99)=0,F99="",G99="",H99=""),"缺少必填项",IF(COUNTIF('站点与CPU'!$B$5:$B$64,B99)=0,"站点ID不存在",IF(COUNTIFS($B$5:$B$124,B99,$C$5:$C$124,C99,$D$5:$D$124,D99,$E$5:$E$124,E99)&gt;1,"槽位重复",IF(AND(A99="克隆",P99=""),"缺少源模块名称","通过"))))))</x:f>
      </x:c>
    </x:row>
    <x:row r="100">
      <x:c r="A100" s="37"/>
      <x:c r="B100" s="37"/>
      <x:c r="C100" s="37"/>
      <x:c r="D100" s="37"/>
      <x:c r="E100" s="38"/>
      <x:c r="F100" s="37"/>
      <x:c r="G100" s="37"/>
      <x:c r="H100" s="37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42" t="str">
        <x:f>IF(A100="","",IF(A100="跳过","跳过",IF(OR(B100="",LEN(C100)=0,LEN(D100)=0,F100="",G100="",H100=""),"缺少必填项",IF(COUNTIF('站点与CPU'!$B$5:$B$64,B100)=0,"站点ID不存在",IF(COUNTIFS($B$5:$B$124,B100,$C$5:$C$124,C100,$D$5:$D$124,D100,$E$5:$E$124,E100)&gt;1,"槽位重复",IF(AND(A100="克隆",P100=""),"缺少源模块名称","通过"))))))</x:f>
      </x:c>
    </x:row>
    <x:row r="101">
      <x:c r="A101" s="37"/>
      <x:c r="B101" s="37"/>
      <x:c r="C101" s="37"/>
      <x:c r="D101" s="37"/>
      <x:c r="E101" s="38"/>
      <x:c r="F101" s="37"/>
      <x:c r="G101" s="37"/>
      <x:c r="H101" s="37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42" t="str">
        <x:f>IF(A101="","",IF(A101="跳过","跳过",IF(OR(B101="",LEN(C101)=0,LEN(D101)=0,F101="",G101="",H101=""),"缺少必填项",IF(COUNTIF('站点与CPU'!$B$5:$B$64,B101)=0,"站点ID不存在",IF(COUNTIFS($B$5:$B$124,B101,$C$5:$C$124,C101,$D$5:$D$124,D101,$E$5:$E$124,E101)&gt;1,"槽位重复",IF(AND(A101="克隆",P101=""),"缺少源模块名称","通过"))))))</x:f>
      </x:c>
    </x:row>
    <x:row r="102">
      <x:c r="A102" s="37"/>
      <x:c r="B102" s="37"/>
      <x:c r="C102" s="37"/>
      <x:c r="D102" s="37"/>
      <x:c r="E102" s="38"/>
      <x:c r="F102" s="37"/>
      <x:c r="G102" s="37"/>
      <x:c r="H102" s="37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42" t="str">
        <x:f>IF(A102="","",IF(A102="跳过","跳过",IF(OR(B102="",LEN(C102)=0,LEN(D102)=0,F102="",G102="",H102=""),"缺少必填项",IF(COUNTIF('站点与CPU'!$B$5:$B$64,B102)=0,"站点ID不存在",IF(COUNTIFS($B$5:$B$124,B102,$C$5:$C$124,C102,$D$5:$D$124,D102,$E$5:$E$124,E102)&gt;1,"槽位重复",IF(AND(A102="克隆",P102=""),"缺少源模块名称","通过"))))))</x:f>
      </x:c>
    </x:row>
    <x:row r="103">
      <x:c r="A103" s="37"/>
      <x:c r="B103" s="37"/>
      <x:c r="C103" s="37"/>
      <x:c r="D103" s="37"/>
      <x:c r="E103" s="38"/>
      <x:c r="F103" s="37"/>
      <x:c r="G103" s="37"/>
      <x:c r="H103" s="37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42" t="str">
        <x:f>IF(A103="","",IF(A103="跳过","跳过",IF(OR(B103="",LEN(C103)=0,LEN(D103)=0,F103="",G103="",H103=""),"缺少必填项",IF(COUNTIF('站点与CPU'!$B$5:$B$64,B103)=0,"站点ID不存在",IF(COUNTIFS($B$5:$B$124,B103,$C$5:$C$124,C103,$D$5:$D$124,D103,$E$5:$E$124,E103)&gt;1,"槽位重复",IF(AND(A103="克隆",P103=""),"缺少源模块名称","通过"))))))</x:f>
      </x:c>
    </x:row>
    <x:row r="104">
      <x:c r="A104" s="37"/>
      <x:c r="B104" s="37"/>
      <x:c r="C104" s="37"/>
      <x:c r="D104" s="37"/>
      <x:c r="E104" s="38"/>
      <x:c r="F104" s="37"/>
      <x:c r="G104" s="37"/>
      <x:c r="H104" s="37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42" t="str">
        <x:f>IF(A104="","",IF(A104="跳过","跳过",IF(OR(B104="",LEN(C104)=0,LEN(D104)=0,F104="",G104="",H104=""),"缺少必填项",IF(COUNTIF('站点与CPU'!$B$5:$B$64,B104)=0,"站点ID不存在",IF(COUNTIFS($B$5:$B$124,B104,$C$5:$C$124,C104,$D$5:$D$124,D104,$E$5:$E$124,E104)&gt;1,"槽位重复",IF(AND(A104="克隆",P104=""),"缺少源模块名称","通过"))))))</x:f>
      </x:c>
    </x:row>
    <x:row r="105">
      <x:c r="A105" s="37"/>
      <x:c r="B105" s="37"/>
      <x:c r="C105" s="37"/>
      <x:c r="D105" s="37"/>
      <x:c r="E105" s="38"/>
      <x:c r="F105" s="37"/>
      <x:c r="G105" s="37"/>
      <x:c r="H105" s="37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42" t="str">
        <x:f>IF(A105="","",IF(A105="跳过","跳过",IF(OR(B105="",LEN(C105)=0,LEN(D105)=0,F105="",G105="",H105=""),"缺少必填项",IF(COUNTIF('站点与CPU'!$B$5:$B$64,B105)=0,"站点ID不存在",IF(COUNTIFS($B$5:$B$124,B105,$C$5:$C$124,C105,$D$5:$D$124,D105,$E$5:$E$124,E105)&gt;1,"槽位重复",IF(AND(A105="克隆",P105=""),"缺少源模块名称","通过"))))))</x:f>
      </x:c>
    </x:row>
    <x:row r="106">
      <x:c r="A106" s="37"/>
      <x:c r="B106" s="37"/>
      <x:c r="C106" s="37"/>
      <x:c r="D106" s="37"/>
      <x:c r="E106" s="38"/>
      <x:c r="F106" s="37"/>
      <x:c r="G106" s="37"/>
      <x:c r="H106" s="37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42" t="str">
        <x:f>IF(A106="","",IF(A106="跳过","跳过",IF(OR(B106="",LEN(C106)=0,LEN(D106)=0,F106="",G106="",H106=""),"缺少必填项",IF(COUNTIF('站点与CPU'!$B$5:$B$64,B106)=0,"站点ID不存在",IF(COUNTIFS($B$5:$B$124,B106,$C$5:$C$124,C106,$D$5:$D$124,D106,$E$5:$E$124,E106)&gt;1,"槽位重复",IF(AND(A106="克隆",P106=""),"缺少源模块名称","通过"))))))</x:f>
      </x:c>
    </x:row>
    <x:row r="107">
      <x:c r="A107" s="37"/>
      <x:c r="B107" s="37"/>
      <x:c r="C107" s="37"/>
      <x:c r="D107" s="37"/>
      <x:c r="E107" s="38"/>
      <x:c r="F107" s="37"/>
      <x:c r="G107" s="37"/>
      <x:c r="H107" s="37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42" t="str">
        <x:f>IF(A107="","",IF(A107="跳过","跳过",IF(OR(B107="",LEN(C107)=0,LEN(D107)=0,F107="",G107="",H107=""),"缺少必填项",IF(COUNTIF('站点与CPU'!$B$5:$B$64,B107)=0,"站点ID不存在",IF(COUNTIFS($B$5:$B$124,B107,$C$5:$C$124,C107,$D$5:$D$124,D107,$E$5:$E$124,E107)&gt;1,"槽位重复",IF(AND(A107="克隆",P107=""),"缺少源模块名称","通过"))))))</x:f>
      </x:c>
    </x:row>
    <x:row r="108">
      <x:c r="A108" s="37"/>
      <x:c r="B108" s="37"/>
      <x:c r="C108" s="37"/>
      <x:c r="D108" s="37"/>
      <x:c r="E108" s="38"/>
      <x:c r="F108" s="37"/>
      <x:c r="G108" s="37"/>
      <x:c r="H108" s="37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42" t="str">
        <x:f>IF(A108="","",IF(A108="跳过","跳过",IF(OR(B108="",LEN(C108)=0,LEN(D108)=0,F108="",G108="",H108=""),"缺少必填项",IF(COUNTIF('站点与CPU'!$B$5:$B$64,B108)=0,"站点ID不存在",IF(COUNTIFS($B$5:$B$124,B108,$C$5:$C$124,C108,$D$5:$D$124,D108,$E$5:$E$124,E108)&gt;1,"槽位重复",IF(AND(A108="克隆",P108=""),"缺少源模块名称","通过"))))))</x:f>
      </x:c>
    </x:row>
    <x:row r="109">
      <x:c r="A109" s="37"/>
      <x:c r="B109" s="37"/>
      <x:c r="C109" s="37"/>
      <x:c r="D109" s="37"/>
      <x:c r="E109" s="38"/>
      <x:c r="F109" s="37"/>
      <x:c r="G109" s="37"/>
      <x:c r="H109" s="37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42" t="str">
        <x:f>IF(A109="","",IF(A109="跳过","跳过",IF(OR(B109="",LEN(C109)=0,LEN(D109)=0,F109="",G109="",H109=""),"缺少必填项",IF(COUNTIF('站点与CPU'!$B$5:$B$64,B109)=0,"站点ID不存在",IF(COUNTIFS($B$5:$B$124,B109,$C$5:$C$124,C109,$D$5:$D$124,D109,$E$5:$E$124,E109)&gt;1,"槽位重复",IF(AND(A109="克隆",P109=""),"缺少源模块名称","通过"))))))</x:f>
      </x:c>
    </x:row>
    <x:row r="110">
      <x:c r="A110" s="37"/>
      <x:c r="B110" s="37"/>
      <x:c r="C110" s="37"/>
      <x:c r="D110" s="37"/>
      <x:c r="E110" s="38"/>
      <x:c r="F110" s="37"/>
      <x:c r="G110" s="37"/>
      <x:c r="H110" s="37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42" t="str">
        <x:f>IF(A110="","",IF(A110="跳过","跳过",IF(OR(B110="",LEN(C110)=0,LEN(D110)=0,F110="",G110="",H110=""),"缺少必填项",IF(COUNTIF('站点与CPU'!$B$5:$B$64,B110)=0,"站点ID不存在",IF(COUNTIFS($B$5:$B$124,B110,$C$5:$C$124,C110,$D$5:$D$124,D110,$E$5:$E$124,E110)&gt;1,"槽位重复",IF(AND(A110="克隆",P110=""),"缺少源模块名称","通过"))))))</x:f>
      </x:c>
    </x:row>
    <x:row r="111">
      <x:c r="A111" s="37"/>
      <x:c r="B111" s="37"/>
      <x:c r="C111" s="37"/>
      <x:c r="D111" s="37"/>
      <x:c r="E111" s="38"/>
      <x:c r="F111" s="37"/>
      <x:c r="G111" s="37"/>
      <x:c r="H111" s="37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42" t="str">
        <x:f>IF(A111="","",IF(A111="跳过","跳过",IF(OR(B111="",LEN(C111)=0,LEN(D111)=0,F111="",G111="",H111=""),"缺少必填项",IF(COUNTIF('站点与CPU'!$B$5:$B$64,B111)=0,"站点ID不存在",IF(COUNTIFS($B$5:$B$124,B111,$C$5:$C$124,C111,$D$5:$D$124,D111,$E$5:$E$124,E111)&gt;1,"槽位重复",IF(AND(A111="克隆",P111=""),"缺少源模块名称","通过"))))))</x:f>
      </x:c>
    </x:row>
    <x:row r="112">
      <x:c r="A112" s="37"/>
      <x:c r="B112" s="37"/>
      <x:c r="C112" s="37"/>
      <x:c r="D112" s="37"/>
      <x:c r="E112" s="38"/>
      <x:c r="F112" s="37"/>
      <x:c r="G112" s="37"/>
      <x:c r="H112" s="37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42" t="str">
        <x:f>IF(A112="","",IF(A112="跳过","跳过",IF(OR(B112="",LEN(C112)=0,LEN(D112)=0,F112="",G112="",H112=""),"缺少必填项",IF(COUNTIF('站点与CPU'!$B$5:$B$64,B112)=0,"站点ID不存在",IF(COUNTIFS($B$5:$B$124,B112,$C$5:$C$124,C112,$D$5:$D$124,D112,$E$5:$E$124,E112)&gt;1,"槽位重复",IF(AND(A112="克隆",P112=""),"缺少源模块名称","通过"))))))</x:f>
      </x:c>
    </x:row>
    <x:row r="113">
      <x:c r="A113" s="37"/>
      <x:c r="B113" s="37"/>
      <x:c r="C113" s="37"/>
      <x:c r="D113" s="37"/>
      <x:c r="E113" s="38"/>
      <x:c r="F113" s="37"/>
      <x:c r="G113" s="37"/>
      <x:c r="H113" s="37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42" t="str">
        <x:f>IF(A113="","",IF(A113="跳过","跳过",IF(OR(B113="",LEN(C113)=0,LEN(D113)=0,F113="",G113="",H113=""),"缺少必填项",IF(COUNTIF('站点与CPU'!$B$5:$B$64,B113)=0,"站点ID不存在",IF(COUNTIFS($B$5:$B$124,B113,$C$5:$C$124,C113,$D$5:$D$124,D113,$E$5:$E$124,E113)&gt;1,"槽位重复",IF(AND(A113="克隆",P113=""),"缺少源模块名称","通过"))))))</x:f>
      </x:c>
    </x:row>
    <x:row r="114">
      <x:c r="A114" s="37"/>
      <x:c r="B114" s="37"/>
      <x:c r="C114" s="37"/>
      <x:c r="D114" s="37"/>
      <x:c r="E114" s="38"/>
      <x:c r="F114" s="37"/>
      <x:c r="G114" s="37"/>
      <x:c r="H114" s="37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42" t="str">
        <x:f>IF(A114="","",IF(A114="跳过","跳过",IF(OR(B114="",LEN(C114)=0,LEN(D114)=0,F114="",G114="",H114=""),"缺少必填项",IF(COUNTIF('站点与CPU'!$B$5:$B$64,B114)=0,"站点ID不存在",IF(COUNTIFS($B$5:$B$124,B114,$C$5:$C$124,C114,$D$5:$D$124,D114,$E$5:$E$124,E114)&gt;1,"槽位重复",IF(AND(A114="克隆",P114=""),"缺少源模块名称","通过"))))))</x:f>
      </x:c>
    </x:row>
    <x:row r="115">
      <x:c r="A115" s="37"/>
      <x:c r="B115" s="37"/>
      <x:c r="C115" s="37"/>
      <x:c r="D115" s="37"/>
      <x:c r="E115" s="38"/>
      <x:c r="F115" s="37"/>
      <x:c r="G115" s="37"/>
      <x:c r="H115" s="37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42" t="str">
        <x:f>IF(A115="","",IF(A115="跳过","跳过",IF(OR(B115="",LEN(C115)=0,LEN(D115)=0,F115="",G115="",H115=""),"缺少必填项",IF(COUNTIF('站点与CPU'!$B$5:$B$64,B115)=0,"站点ID不存在",IF(COUNTIFS($B$5:$B$124,B115,$C$5:$C$124,C115,$D$5:$D$124,D115,$E$5:$E$124,E115)&gt;1,"槽位重复",IF(AND(A115="克隆",P115=""),"缺少源模块名称","通过"))))))</x:f>
      </x:c>
    </x:row>
    <x:row r="116">
      <x:c r="A116" s="37"/>
      <x:c r="B116" s="37"/>
      <x:c r="C116" s="37"/>
      <x:c r="D116" s="37"/>
      <x:c r="E116" s="38"/>
      <x:c r="F116" s="37"/>
      <x:c r="G116" s="37"/>
      <x:c r="H116" s="37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42" t="str">
        <x:f>IF(A116="","",IF(A116="跳过","跳过",IF(OR(B116="",LEN(C116)=0,LEN(D116)=0,F116="",G116="",H116=""),"缺少必填项",IF(COUNTIF('站点与CPU'!$B$5:$B$64,B116)=0,"站点ID不存在",IF(COUNTIFS($B$5:$B$124,B116,$C$5:$C$124,C116,$D$5:$D$124,D116,$E$5:$E$124,E116)&gt;1,"槽位重复",IF(AND(A116="克隆",P116=""),"缺少源模块名称","通过"))))))</x:f>
      </x:c>
    </x:row>
    <x:row r="117">
      <x:c r="A117" s="37"/>
      <x:c r="B117" s="37"/>
      <x:c r="C117" s="37"/>
      <x:c r="D117" s="37"/>
      <x:c r="E117" s="38"/>
      <x:c r="F117" s="37"/>
      <x:c r="G117" s="37"/>
      <x:c r="H117" s="37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42" t="str">
        <x:f>IF(A117="","",IF(A117="跳过","跳过",IF(OR(B117="",LEN(C117)=0,LEN(D117)=0,F117="",G117="",H117=""),"缺少必填项",IF(COUNTIF('站点与CPU'!$B$5:$B$64,B117)=0,"站点ID不存在",IF(COUNTIFS($B$5:$B$124,B117,$C$5:$C$124,C117,$D$5:$D$124,D117,$E$5:$E$124,E117)&gt;1,"槽位重复",IF(AND(A117="克隆",P117=""),"缺少源模块名称","通过"))))))</x:f>
      </x:c>
    </x:row>
    <x:row r="118">
      <x:c r="A118" s="37"/>
      <x:c r="B118" s="37"/>
      <x:c r="C118" s="37"/>
      <x:c r="D118" s="37"/>
      <x:c r="E118" s="38"/>
      <x:c r="F118" s="37"/>
      <x:c r="G118" s="37"/>
      <x:c r="H118" s="37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42" t="str">
        <x:f>IF(A118="","",IF(A118="跳过","跳过",IF(OR(B118="",LEN(C118)=0,LEN(D118)=0,F118="",G118="",H118=""),"缺少必填项",IF(COUNTIF('站点与CPU'!$B$5:$B$64,B118)=0,"站点ID不存在",IF(COUNTIFS($B$5:$B$124,B118,$C$5:$C$124,C118,$D$5:$D$124,D118,$E$5:$E$124,E118)&gt;1,"槽位重复",IF(AND(A118="克隆",P118=""),"缺少源模块名称","通过"))))))</x:f>
      </x:c>
    </x:row>
    <x:row r="119">
      <x:c r="A119" s="37"/>
      <x:c r="B119" s="37"/>
      <x:c r="C119" s="37"/>
      <x:c r="D119" s="37"/>
      <x:c r="E119" s="38"/>
      <x:c r="F119" s="37"/>
      <x:c r="G119" s="37"/>
      <x:c r="H119" s="37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42" t="str">
        <x:f>IF(A119="","",IF(A119="跳过","跳过",IF(OR(B119="",LEN(C119)=0,LEN(D119)=0,F119="",G119="",H119=""),"缺少必填项",IF(COUNTIF('站点与CPU'!$B$5:$B$64,B119)=0,"站点ID不存在",IF(COUNTIFS($B$5:$B$124,B119,$C$5:$C$124,C119,$D$5:$D$124,D119,$E$5:$E$124,E119)&gt;1,"槽位重复",IF(AND(A119="克隆",P119=""),"缺少源模块名称","通过"))))))</x:f>
      </x:c>
    </x:row>
    <x:row r="120">
      <x:c r="A120" s="37"/>
      <x:c r="B120" s="37"/>
      <x:c r="C120" s="37"/>
      <x:c r="D120" s="37"/>
      <x:c r="E120" s="38"/>
      <x:c r="F120" s="37"/>
      <x:c r="G120" s="37"/>
      <x:c r="H120" s="37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42" t="str">
        <x:f>IF(A120="","",IF(A120="跳过","跳过",IF(OR(B120="",LEN(C120)=0,LEN(D120)=0,F120="",G120="",H120=""),"缺少必填项",IF(COUNTIF('站点与CPU'!$B$5:$B$64,B120)=0,"站点ID不存在",IF(COUNTIFS($B$5:$B$124,B120,$C$5:$C$124,C120,$D$5:$D$124,D120,$E$5:$E$124,E120)&gt;1,"槽位重复",IF(AND(A120="克隆",P120=""),"缺少源模块名称","通过"))))))</x:f>
      </x:c>
    </x:row>
    <x:row r="121">
      <x:c r="A121" s="37"/>
      <x:c r="B121" s="37"/>
      <x:c r="C121" s="37"/>
      <x:c r="D121" s="37"/>
      <x:c r="E121" s="38"/>
      <x:c r="F121" s="37"/>
      <x:c r="G121" s="37"/>
      <x:c r="H121" s="37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42" t="str">
        <x:f>IF(A121="","",IF(A121="跳过","跳过",IF(OR(B121="",LEN(C121)=0,LEN(D121)=0,F121="",G121="",H121=""),"缺少必填项",IF(COUNTIF('站点与CPU'!$B$5:$B$64,B121)=0,"站点ID不存在",IF(COUNTIFS($B$5:$B$124,B121,$C$5:$C$124,C121,$D$5:$D$124,D121,$E$5:$E$124,E121)&gt;1,"槽位重复",IF(AND(A121="克隆",P121=""),"缺少源模块名称","通过"))))))</x:f>
      </x:c>
    </x:row>
    <x:row r="122">
      <x:c r="A122" s="37"/>
      <x:c r="B122" s="37"/>
      <x:c r="C122" s="37"/>
      <x:c r="D122" s="37"/>
      <x:c r="E122" s="38"/>
      <x:c r="F122" s="37"/>
      <x:c r="G122" s="37"/>
      <x:c r="H122" s="37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42" t="str">
        <x:f>IF(A122="","",IF(A122="跳过","跳过",IF(OR(B122="",LEN(C122)=0,LEN(D122)=0,F122="",G122="",H122=""),"缺少必填项",IF(COUNTIF('站点与CPU'!$B$5:$B$64,B122)=0,"站点ID不存在",IF(COUNTIFS($B$5:$B$124,B122,$C$5:$C$124,C122,$D$5:$D$124,D122,$E$5:$E$124,E122)&gt;1,"槽位重复",IF(AND(A122="克隆",P122=""),"缺少源模块名称","通过"))))))</x:f>
      </x:c>
    </x:row>
    <x:row r="123">
      <x:c r="A123" s="37"/>
      <x:c r="B123" s="37"/>
      <x:c r="C123" s="37"/>
      <x:c r="D123" s="37"/>
      <x:c r="E123" s="38"/>
      <x:c r="F123" s="37"/>
      <x:c r="G123" s="37"/>
      <x:c r="H123" s="37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42" t="str">
        <x:f>IF(A123="","",IF(A123="跳过","跳过",IF(OR(B123="",LEN(C123)=0,LEN(D123)=0,F123="",G123="",H123=""),"缺少必填项",IF(COUNTIF('站点与CPU'!$B$5:$B$64,B123)=0,"站点ID不存在",IF(COUNTIFS($B$5:$B$124,B123,$C$5:$C$124,C123,$D$5:$D$124,D123,$E$5:$E$124,E123)&gt;1,"槽位重复",IF(AND(A123="克隆",P123=""),"缺少源模块名称","通过"))))))</x:f>
      </x:c>
    </x:row>
    <x:row r="124">
      <x:c r="A124" s="39"/>
      <x:c r="B124" s="39"/>
      <x:c r="C124" s="39"/>
      <x:c r="D124" s="39"/>
      <x:c r="E124" s="40"/>
      <x:c r="F124" s="39"/>
      <x:c r="G124" s="39"/>
      <x:c r="H124" s="39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3" t="str">
        <x:f>IF(A124="","",IF(A124="跳过","跳过",IF(OR(B124="",LEN(C124)=0,LEN(D124)=0,F124="",G124="",H124=""),"缺少必填项",IF(COUNTIF('站点与CPU'!$B$5:$B$64,B124)=0,"站点ID不存在",IF(COUNTIFS($B$5:$B$124,B124,$C$5:$C$124,C124,$D$5:$D$124,D124,$E$5:$E$124,E124)&gt;1,"槽位重复",IF(AND(A124="克隆",P124=""),"缺少源模块名称","通过"))))))</x:f>
      </x:c>
    </x:row>
  </x:sheetData>
  <x:mergeCells>
    <x:mergeCell ref="A1:R1"/>
    <x:mergeCell ref="A2:R2"/>
  </x:mergeCells>
  <x:conditionalFormatting sqref="R5:R124">
    <x:cfRule type="containsText" dxfId="4" priority="1" operator="containsText" text="通过"/>
    <x:cfRule type="containsText" dxfId="5" priority="2" operator="containsText" text="缺少"/>
    <x:cfRule type="containsText" dxfId="6" priority="3" operator="containsText" text="重复"/>
    <x:cfRule type="containsText" dxfId="7" priority="4" operator="containsText" text="不存在"/>
  </x:conditionalFormatting>
  <x:dataValidations count="9">
    <x:dataValidation type="list" sqref="A5:A124">
      <x:formula1>选项!$A$2:$A$6</x:formula1>
    </x:dataValidation>
    <x:dataValidation type="list" sqref="G5:G124">
      <x:formula1>选项!$D$2:$D$14</x:formula1>
    </x:dataValidation>
    <x:dataValidation type="whole" operator="between" sqref="C5:C124">
      <x:formula1>0</x:formula1>
      <x:formula2>65535</x:formula2>
    </x:dataValidation>
    <x:dataValidation type="whole" operator="between" sqref="D5:D124">
      <x:formula1>0</x:formula1>
      <x:formula2>65535</x:formula2>
    </x:dataValidation>
    <x:dataValidation type="whole" operator="between" sqref="E5:E124">
      <x:formula1>0</x:formula1>
      <x:formula2>65535</x:formula2>
    </x:dataValidation>
    <x:dataValidation type="whole" operator="between" sqref="K5:K124">
      <x:formula1>0</x:formula1>
      <x:formula2>65535</x:formula2>
    </x:dataValidation>
    <x:dataValidation type="whole" operator="between" sqref="L5:L124">
      <x:formula1>0</x:formula1>
      <x:formula2>65535</x:formula2>
    </x:dataValidation>
    <x:dataValidation type="whole" operator="between" sqref="M5:M124">
      <x:formula1>0</x:formula1>
      <x:formula2>65535</x:formula2>
    </x:dataValidation>
    <x:dataValidation type="whole" operator="between" sqref="N5:N124">
      <x:formula1>0</x:formula1>
      <x:formula2>65535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1ba6d16bade41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14" hidden="0" customWidth="1"/>
    <x:col min="13" max="13" width="14" hidden="0" customWidth="1"/>
    <x:col min="14" max="14" width="28" hidden="0" customWidth="1"/>
    <x:col min="15" max="15" width="18" hidden="0" customWidth="1"/>
  </x:cols>
  <x:sheetData>
    <x:row r="1" ht="34" customHeight="1">
      <x:c r="A1" s="3" t="str">
        <x:v>网络连接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6" t="str">
        <x:v>每个接口或网络连接一行。IP 地址与 PROFINET 设备名称应在项目内唯一。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8" customHeight="1">
      <x:c r="A4" s="28" t="str">
        <x:v>操作*</x:v>
      </x:c>
      <x:c r="B4" s="29" t="str">
        <x:v>连接ID*</x:v>
      </x:c>
      <x:c r="C4" s="29" t="str">
        <x:v>站点ID*</x:v>
      </x:c>
      <x:c r="D4" s="29" t="str">
        <x:v>接口名称*</x:v>
      </x:c>
      <x:c r="E4" s="29" t="str">
        <x:v>网络类型*</x:v>
      </x:c>
      <x:c r="F4" s="29" t="str">
        <x:v>子网名称*</x:v>
      </x:c>
      <x:c r="G4" s="29" t="str">
        <x:v>PROFINET设备名称</x:v>
      </x:c>
      <x:c r="H4" s="29" t="str">
        <x:v>IP地址</x:v>
      </x:c>
      <x:c r="I4" s="29" t="str">
        <x:v>子网掩码</x:v>
      </x:c>
      <x:c r="J4" s="29" t="str">
        <x:v>网关</x:v>
      </x:c>
      <x:c r="K4" s="29" t="str">
        <x:v>IO系统名称</x:v>
      </x:c>
      <x:c r="L4" s="29" t="str">
        <x:v>更新时间(ms)</x:v>
      </x:c>
      <x:c r="M4" s="29" t="str">
        <x:v>同步角色</x:v>
      </x:c>
      <x:c r="N4" s="29" t="str">
        <x:v>备注</x:v>
      </x:c>
      <x:c r="O4" s="30" t="str">
        <x:v>校验结果</x:v>
      </x:c>
    </x:row>
    <x:row r="5">
      <x:c r="A5" s="35" t="str">
        <x:v>新建</x:v>
      </x:c>
      <x:c r="B5" s="35" t="str">
        <x:v>NET_01</x:v>
      </x:c>
      <x:c r="C5" s="35" t="str">
        <x:v>PLC_01</x:v>
      </x:c>
      <x:c r="D5" s="35" t="str">
        <x:v>X1</x:v>
      </x:c>
      <x:c r="E5" s="35" t="str">
        <x:v>PROFINET</x:v>
      </x:c>
      <x:c r="F5" s="35" t="str">
        <x:v>PN_IO</x:v>
      </x:c>
      <x:c r="G5" s="36" t="str">
        <x:v>plc-01</x:v>
      </x:c>
      <x:c r="H5" s="36" t="str">
        <x:v>192.168.0.1</x:v>
      </x:c>
      <x:c r="I5" s="36" t="str">
        <x:v>255.255.255.0</x:v>
      </x:c>
      <x:c r="J5" s="36" t="str"/>
      <x:c r="K5" s="36" t="str">
        <x:v>PNIO_SYSTEM</x:v>
      </x:c>
      <x:c r="L5" s="36" t="n">
        <x:v>4</x:v>
      </x:c>
      <x:c r="M5" s="36" t="str">
        <x:v>IO控制器</x:v>
      </x:c>
      <x:c r="N5" s="36" t="str">
        <x:v>示例行，可直接覆盖</x:v>
      </x:c>
      <x:c r="O5" s="41" t="str">
        <x:f>IF(A5="","",IF(A5="跳过","跳过",IF(OR(B5="",C5="",D5="",E5="",F5=""),"缺少必填项",IF(COUNTIF('站点与CPU'!$B$5:$B$64,C5)=0,"站点ID不存在",IF(AND(H5&lt;&gt;"",COUNTIF($H$5:$H$84,H5)&gt;1),"IP地址重复",IF(AND(G5&lt;&gt;"",COUNTIF($G$5:$G$84,G5)&gt;1),"设备名称重复","通过"))))))</x:f>
        <x:v>通过</x:v>
      </x:c>
    </x:row>
    <x:row r="6">
      <x:c r="A6" s="37"/>
      <x:c r="B6" s="37"/>
      <x:c r="C6" s="37"/>
      <x:c r="D6" s="37"/>
      <x:c r="E6" s="37"/>
      <x:c r="F6" s="37"/>
      <x:c r="G6" s="38"/>
      <x:c r="H6" s="38"/>
      <x:c r="I6" s="38"/>
      <x:c r="J6" s="38"/>
      <x:c r="K6" s="38"/>
      <x:c r="L6" s="38"/>
      <x:c r="M6" s="38"/>
      <x:c r="N6" s="38"/>
      <x:c r="O6" s="42" t="str">
        <x:f>IF(A6="","",IF(A6="跳过","跳过",IF(OR(B6="",C6="",D6="",E6="",F6=""),"缺少必填项",IF(COUNTIF('站点与CPU'!$B$5:$B$64,C6)=0,"站点ID不存在",IF(AND(H6&lt;&gt;"",COUNTIF($H$5:$H$84,H6)&gt;1),"IP地址重复",IF(AND(G6&lt;&gt;"",COUNTIF($G$5:$G$84,G6)&gt;1),"设备名称重复","通过"))))))</x:f>
      </x:c>
    </x:row>
    <x:row r="7">
      <x:c r="A7" s="37"/>
      <x:c r="B7" s="37"/>
      <x:c r="C7" s="37"/>
      <x:c r="D7" s="37"/>
      <x:c r="E7" s="37"/>
      <x:c r="F7" s="37"/>
      <x:c r="G7" s="38"/>
      <x:c r="H7" s="38"/>
      <x:c r="I7" s="38"/>
      <x:c r="J7" s="38"/>
      <x:c r="K7" s="38"/>
      <x:c r="L7" s="38"/>
      <x:c r="M7" s="38"/>
      <x:c r="N7" s="38"/>
      <x:c r="O7" s="42" t="str">
        <x:f>IF(A7="","",IF(A7="跳过","跳过",IF(OR(B7="",C7="",D7="",E7="",F7=""),"缺少必填项",IF(COUNTIF('站点与CPU'!$B$5:$B$64,C7)=0,"站点ID不存在",IF(AND(H7&lt;&gt;"",COUNTIF($H$5:$H$84,H7)&gt;1),"IP地址重复",IF(AND(G7&lt;&gt;"",COUNTIF($G$5:$G$84,G7)&gt;1),"设备名称重复","通过"))))))</x:f>
      </x:c>
    </x:row>
    <x:row r="8">
      <x:c r="A8" s="37"/>
      <x:c r="B8" s="37"/>
      <x:c r="C8" s="37"/>
      <x:c r="D8" s="37"/>
      <x:c r="E8" s="37"/>
      <x:c r="F8" s="37"/>
      <x:c r="G8" s="38"/>
      <x:c r="H8" s="38"/>
      <x:c r="I8" s="38"/>
      <x:c r="J8" s="38"/>
      <x:c r="K8" s="38"/>
      <x:c r="L8" s="38"/>
      <x:c r="M8" s="38"/>
      <x:c r="N8" s="38"/>
      <x:c r="O8" s="42" t="str">
        <x:f>IF(A8="","",IF(A8="跳过","跳过",IF(OR(B8="",C8="",D8="",E8="",F8=""),"缺少必填项",IF(COUNTIF('站点与CPU'!$B$5:$B$64,C8)=0,"站点ID不存在",IF(AND(H8&lt;&gt;"",COUNTIF($H$5:$H$84,H8)&gt;1),"IP地址重复",IF(AND(G8&lt;&gt;"",COUNTIF($G$5:$G$84,G8)&gt;1),"设备名称重复","通过"))))))</x:f>
      </x:c>
    </x:row>
    <x:row r="9">
      <x:c r="A9" s="37"/>
      <x:c r="B9" s="37"/>
      <x:c r="C9" s="37"/>
      <x:c r="D9" s="37"/>
      <x:c r="E9" s="37"/>
      <x:c r="F9" s="37"/>
      <x:c r="G9" s="38"/>
      <x:c r="H9" s="38"/>
      <x:c r="I9" s="38"/>
      <x:c r="J9" s="38"/>
      <x:c r="K9" s="38"/>
      <x:c r="L9" s="38"/>
      <x:c r="M9" s="38"/>
      <x:c r="N9" s="38"/>
      <x:c r="O9" s="42" t="str">
        <x:f>IF(A9="","",IF(A9="跳过","跳过",IF(OR(B9="",C9="",D9="",E9="",F9=""),"缺少必填项",IF(COUNTIF('站点与CPU'!$B$5:$B$64,C9)=0,"站点ID不存在",IF(AND(H9&lt;&gt;"",COUNTIF($H$5:$H$84,H9)&gt;1),"IP地址重复",IF(AND(G9&lt;&gt;"",COUNTIF($G$5:$G$84,G9)&gt;1),"设备名称重复","通过"))))))</x:f>
      </x:c>
    </x:row>
    <x:row r="10">
      <x:c r="A10" s="37"/>
      <x:c r="B10" s="37"/>
      <x:c r="C10" s="37"/>
      <x:c r="D10" s="37"/>
      <x:c r="E10" s="37"/>
      <x:c r="F10" s="37"/>
      <x:c r="G10" s="38"/>
      <x:c r="H10" s="38"/>
      <x:c r="I10" s="38"/>
      <x:c r="J10" s="38"/>
      <x:c r="K10" s="38"/>
      <x:c r="L10" s="38"/>
      <x:c r="M10" s="38"/>
      <x:c r="N10" s="38"/>
      <x:c r="O10" s="42" t="str">
        <x:f>IF(A10="","",IF(A10="跳过","跳过",IF(OR(B10="",C10="",D10="",E10="",F10=""),"缺少必填项",IF(COUNTIF('站点与CPU'!$B$5:$B$64,C10)=0,"站点ID不存在",IF(AND(H10&lt;&gt;"",COUNTIF($H$5:$H$84,H10)&gt;1),"IP地址重复",IF(AND(G10&lt;&gt;"",COUNTIF($G$5:$G$84,G10)&gt;1),"设备名称重复","通过"))))))</x:f>
      </x:c>
    </x:row>
    <x:row r="11">
      <x:c r="A11" s="37"/>
      <x:c r="B11" s="37"/>
      <x:c r="C11" s="37"/>
      <x:c r="D11" s="37"/>
      <x:c r="E11" s="37"/>
      <x:c r="F11" s="37"/>
      <x:c r="G11" s="38"/>
      <x:c r="H11" s="38"/>
      <x:c r="I11" s="38"/>
      <x:c r="J11" s="38"/>
      <x:c r="K11" s="38"/>
      <x:c r="L11" s="38"/>
      <x:c r="M11" s="38"/>
      <x:c r="N11" s="38"/>
      <x:c r="O11" s="42" t="str">
        <x:f>IF(A11="","",IF(A11="跳过","跳过",IF(OR(B11="",C11="",D11="",E11="",F11=""),"缺少必填项",IF(COUNTIF('站点与CPU'!$B$5:$B$64,C11)=0,"站点ID不存在",IF(AND(H11&lt;&gt;"",COUNTIF($H$5:$H$84,H11)&gt;1),"IP地址重复",IF(AND(G11&lt;&gt;"",COUNTIF($G$5:$G$84,G11)&gt;1),"设备名称重复","通过"))))))</x:f>
      </x:c>
    </x:row>
    <x:row r="12">
      <x:c r="A12" s="37"/>
      <x:c r="B12" s="37"/>
      <x:c r="C12" s="37"/>
      <x:c r="D12" s="37"/>
      <x:c r="E12" s="37"/>
      <x:c r="F12" s="37"/>
      <x:c r="G12" s="38"/>
      <x:c r="H12" s="38"/>
      <x:c r="I12" s="38"/>
      <x:c r="J12" s="38"/>
      <x:c r="K12" s="38"/>
      <x:c r="L12" s="38"/>
      <x:c r="M12" s="38"/>
      <x:c r="N12" s="38"/>
      <x:c r="O12" s="42" t="str">
        <x:f>IF(A12="","",IF(A12="跳过","跳过",IF(OR(B12="",C12="",D12="",E12="",F12=""),"缺少必填项",IF(COUNTIF('站点与CPU'!$B$5:$B$64,C12)=0,"站点ID不存在",IF(AND(H12&lt;&gt;"",COUNTIF($H$5:$H$84,H12)&gt;1),"IP地址重复",IF(AND(G12&lt;&gt;"",COUNTIF($G$5:$G$84,G12)&gt;1),"设备名称重复","通过"))))))</x:f>
      </x:c>
    </x:row>
    <x:row r="13">
      <x:c r="A13" s="37"/>
      <x:c r="B13" s="37"/>
      <x:c r="C13" s="37"/>
      <x:c r="D13" s="37"/>
      <x:c r="E13" s="37"/>
      <x:c r="F13" s="37"/>
      <x:c r="G13" s="38"/>
      <x:c r="H13" s="38"/>
      <x:c r="I13" s="38"/>
      <x:c r="J13" s="38"/>
      <x:c r="K13" s="38"/>
      <x:c r="L13" s="38"/>
      <x:c r="M13" s="38"/>
      <x:c r="N13" s="38"/>
      <x:c r="O13" s="42" t="str">
        <x:f>IF(A13="","",IF(A13="跳过","跳过",IF(OR(B13="",C13="",D13="",E13="",F13=""),"缺少必填项",IF(COUNTIF('站点与CPU'!$B$5:$B$64,C13)=0,"站点ID不存在",IF(AND(H13&lt;&gt;"",COUNTIF($H$5:$H$84,H13)&gt;1),"IP地址重复",IF(AND(G13&lt;&gt;"",COUNTIF($G$5:$G$84,G13)&gt;1),"设备名称重复","通过"))))))</x:f>
      </x:c>
    </x:row>
    <x:row r="14">
      <x:c r="A14" s="37"/>
      <x:c r="B14" s="37"/>
      <x:c r="C14" s="37"/>
      <x:c r="D14" s="37"/>
      <x:c r="E14" s="37"/>
      <x:c r="F14" s="37"/>
      <x:c r="G14" s="38"/>
      <x:c r="H14" s="38"/>
      <x:c r="I14" s="38"/>
      <x:c r="J14" s="38"/>
      <x:c r="K14" s="38"/>
      <x:c r="L14" s="38"/>
      <x:c r="M14" s="38"/>
      <x:c r="N14" s="38"/>
      <x:c r="O14" s="42" t="str">
        <x:f>IF(A14="","",IF(A14="跳过","跳过",IF(OR(B14="",C14="",D14="",E14="",F14=""),"缺少必填项",IF(COUNTIF('站点与CPU'!$B$5:$B$64,C14)=0,"站点ID不存在",IF(AND(H14&lt;&gt;"",COUNTIF($H$5:$H$84,H14)&gt;1),"IP地址重复",IF(AND(G14&lt;&gt;"",COUNTIF($G$5:$G$84,G14)&gt;1),"设备名称重复","通过"))))))</x:f>
      </x:c>
    </x:row>
    <x:row r="15">
      <x:c r="A15" s="37"/>
      <x:c r="B15" s="37"/>
      <x:c r="C15" s="37"/>
      <x:c r="D15" s="37"/>
      <x:c r="E15" s="37"/>
      <x:c r="F15" s="37"/>
      <x:c r="G15" s="38"/>
      <x:c r="H15" s="38"/>
      <x:c r="I15" s="38"/>
      <x:c r="J15" s="38"/>
      <x:c r="K15" s="38"/>
      <x:c r="L15" s="38"/>
      <x:c r="M15" s="38"/>
      <x:c r="N15" s="38"/>
      <x:c r="O15" s="42" t="str">
        <x:f>IF(A15="","",IF(A15="跳过","跳过",IF(OR(B15="",C15="",D15="",E15="",F15=""),"缺少必填项",IF(COUNTIF('站点与CPU'!$B$5:$B$64,C15)=0,"站点ID不存在",IF(AND(H15&lt;&gt;"",COUNTIF($H$5:$H$84,H15)&gt;1),"IP地址重复",IF(AND(G15&lt;&gt;"",COUNTIF($G$5:$G$84,G15)&gt;1),"设备名称重复","通过"))))))</x:f>
      </x:c>
    </x:row>
    <x:row r="16">
      <x:c r="A16" s="37"/>
      <x:c r="B16" s="37"/>
      <x:c r="C16" s="37"/>
      <x:c r="D16" s="37"/>
      <x:c r="E16" s="37"/>
      <x:c r="F16" s="37"/>
      <x:c r="G16" s="38"/>
      <x:c r="H16" s="38"/>
      <x:c r="I16" s="38"/>
      <x:c r="J16" s="38"/>
      <x:c r="K16" s="38"/>
      <x:c r="L16" s="38"/>
      <x:c r="M16" s="38"/>
      <x:c r="N16" s="38"/>
      <x:c r="O16" s="42" t="str">
        <x:f>IF(A16="","",IF(A16="跳过","跳过",IF(OR(B16="",C16="",D16="",E16="",F16=""),"缺少必填项",IF(COUNTIF('站点与CPU'!$B$5:$B$64,C16)=0,"站点ID不存在",IF(AND(H16&lt;&gt;"",COUNTIF($H$5:$H$84,H16)&gt;1),"IP地址重复",IF(AND(G16&lt;&gt;"",COUNTIF($G$5:$G$84,G16)&gt;1),"设备名称重复","通过"))))))</x:f>
      </x:c>
    </x:row>
    <x:row r="17">
      <x:c r="A17" s="37"/>
      <x:c r="B17" s="37"/>
      <x:c r="C17" s="37"/>
      <x:c r="D17" s="37"/>
      <x:c r="E17" s="37"/>
      <x:c r="F17" s="37"/>
      <x:c r="G17" s="38"/>
      <x:c r="H17" s="38"/>
      <x:c r="I17" s="38"/>
      <x:c r="J17" s="38"/>
      <x:c r="K17" s="38"/>
      <x:c r="L17" s="38"/>
      <x:c r="M17" s="38"/>
      <x:c r="N17" s="38"/>
      <x:c r="O17" s="42" t="str">
        <x:f>IF(A17="","",IF(A17="跳过","跳过",IF(OR(B17="",C17="",D17="",E17="",F17=""),"缺少必填项",IF(COUNTIF('站点与CPU'!$B$5:$B$64,C17)=0,"站点ID不存在",IF(AND(H17&lt;&gt;"",COUNTIF($H$5:$H$84,H17)&gt;1),"IP地址重复",IF(AND(G17&lt;&gt;"",COUNTIF($G$5:$G$84,G17)&gt;1),"设备名称重复","通过"))))))</x:f>
      </x:c>
    </x:row>
    <x:row r="18">
      <x:c r="A18" s="37"/>
      <x:c r="B18" s="37"/>
      <x:c r="C18" s="37"/>
      <x:c r="D18" s="37"/>
      <x:c r="E18" s="37"/>
      <x:c r="F18" s="37"/>
      <x:c r="G18" s="38"/>
      <x:c r="H18" s="38"/>
      <x:c r="I18" s="38"/>
      <x:c r="J18" s="38"/>
      <x:c r="K18" s="38"/>
      <x:c r="L18" s="38"/>
      <x:c r="M18" s="38"/>
      <x:c r="N18" s="38"/>
      <x:c r="O18" s="42" t="str">
        <x:f>IF(A18="","",IF(A18="跳过","跳过",IF(OR(B18="",C18="",D18="",E18="",F18=""),"缺少必填项",IF(COUNTIF('站点与CPU'!$B$5:$B$64,C18)=0,"站点ID不存在",IF(AND(H18&lt;&gt;"",COUNTIF($H$5:$H$84,H18)&gt;1),"IP地址重复",IF(AND(G18&lt;&gt;"",COUNTIF($G$5:$G$84,G18)&gt;1),"设备名称重复","通过"))))))</x:f>
      </x:c>
    </x:row>
    <x:row r="19">
      <x:c r="A19" s="37"/>
      <x:c r="B19" s="37"/>
      <x:c r="C19" s="37"/>
      <x:c r="D19" s="37"/>
      <x:c r="E19" s="37"/>
      <x:c r="F19" s="37"/>
      <x:c r="G19" s="38"/>
      <x:c r="H19" s="38"/>
      <x:c r="I19" s="38"/>
      <x:c r="J19" s="38"/>
      <x:c r="K19" s="38"/>
      <x:c r="L19" s="38"/>
      <x:c r="M19" s="38"/>
      <x:c r="N19" s="38"/>
      <x:c r="O19" s="42" t="str">
        <x:f>IF(A19="","",IF(A19="跳过","跳过",IF(OR(B19="",C19="",D19="",E19="",F19=""),"缺少必填项",IF(COUNTIF('站点与CPU'!$B$5:$B$64,C19)=0,"站点ID不存在",IF(AND(H19&lt;&gt;"",COUNTIF($H$5:$H$84,H19)&gt;1),"IP地址重复",IF(AND(G19&lt;&gt;"",COUNTIF($G$5:$G$84,G19)&gt;1),"设备名称重复","通过"))))))</x:f>
      </x:c>
    </x:row>
    <x:row r="20">
      <x:c r="A20" s="37"/>
      <x:c r="B20" s="37"/>
      <x:c r="C20" s="37"/>
      <x:c r="D20" s="37"/>
      <x:c r="E20" s="37"/>
      <x:c r="F20" s="37"/>
      <x:c r="G20" s="38"/>
      <x:c r="H20" s="38"/>
      <x:c r="I20" s="38"/>
      <x:c r="J20" s="38"/>
      <x:c r="K20" s="38"/>
      <x:c r="L20" s="38"/>
      <x:c r="M20" s="38"/>
      <x:c r="N20" s="38"/>
      <x:c r="O20" s="42" t="str">
        <x:f>IF(A20="","",IF(A20="跳过","跳过",IF(OR(B20="",C20="",D20="",E20="",F20=""),"缺少必填项",IF(COUNTIF('站点与CPU'!$B$5:$B$64,C20)=0,"站点ID不存在",IF(AND(H20&lt;&gt;"",COUNTIF($H$5:$H$84,H20)&gt;1),"IP地址重复",IF(AND(G20&lt;&gt;"",COUNTIF($G$5:$G$84,G20)&gt;1),"设备名称重复","通过"))))))</x:f>
      </x:c>
    </x:row>
    <x:row r="21">
      <x:c r="A21" s="37"/>
      <x:c r="B21" s="37"/>
      <x:c r="C21" s="37"/>
      <x:c r="D21" s="37"/>
      <x:c r="E21" s="37"/>
      <x:c r="F21" s="37"/>
      <x:c r="G21" s="38"/>
      <x:c r="H21" s="38"/>
      <x:c r="I21" s="38"/>
      <x:c r="J21" s="38"/>
      <x:c r="K21" s="38"/>
      <x:c r="L21" s="38"/>
      <x:c r="M21" s="38"/>
      <x:c r="N21" s="38"/>
      <x:c r="O21" s="42" t="str">
        <x:f>IF(A21="","",IF(A21="跳过","跳过",IF(OR(B21="",C21="",D21="",E21="",F21=""),"缺少必填项",IF(COUNTIF('站点与CPU'!$B$5:$B$64,C21)=0,"站点ID不存在",IF(AND(H21&lt;&gt;"",COUNTIF($H$5:$H$84,H21)&gt;1),"IP地址重复",IF(AND(G21&lt;&gt;"",COUNTIF($G$5:$G$84,G21)&gt;1),"设备名称重复","通过"))))))</x:f>
      </x:c>
    </x:row>
    <x:row r="22">
      <x:c r="A22" s="37"/>
      <x:c r="B22" s="37"/>
      <x:c r="C22" s="37"/>
      <x:c r="D22" s="37"/>
      <x:c r="E22" s="37"/>
      <x:c r="F22" s="37"/>
      <x:c r="G22" s="38"/>
      <x:c r="H22" s="38"/>
      <x:c r="I22" s="38"/>
      <x:c r="J22" s="38"/>
      <x:c r="K22" s="38"/>
      <x:c r="L22" s="38"/>
      <x:c r="M22" s="38"/>
      <x:c r="N22" s="38"/>
      <x:c r="O22" s="42" t="str">
        <x:f>IF(A22="","",IF(A22="跳过","跳过",IF(OR(B22="",C22="",D22="",E22="",F22=""),"缺少必填项",IF(COUNTIF('站点与CPU'!$B$5:$B$64,C22)=0,"站点ID不存在",IF(AND(H22&lt;&gt;"",COUNTIF($H$5:$H$84,H22)&gt;1),"IP地址重复",IF(AND(G22&lt;&gt;"",COUNTIF($G$5:$G$84,G22)&gt;1),"设备名称重复","通过"))))))</x:f>
      </x:c>
    </x:row>
    <x:row r="23">
      <x:c r="A23" s="37"/>
      <x:c r="B23" s="37"/>
      <x:c r="C23" s="37"/>
      <x:c r="D23" s="37"/>
      <x:c r="E23" s="37"/>
      <x:c r="F23" s="37"/>
      <x:c r="G23" s="38"/>
      <x:c r="H23" s="38"/>
      <x:c r="I23" s="38"/>
      <x:c r="J23" s="38"/>
      <x:c r="K23" s="38"/>
      <x:c r="L23" s="38"/>
      <x:c r="M23" s="38"/>
      <x:c r="N23" s="38"/>
      <x:c r="O23" s="42" t="str">
        <x:f>IF(A23="","",IF(A23="跳过","跳过",IF(OR(B23="",C23="",D23="",E23="",F23=""),"缺少必填项",IF(COUNTIF('站点与CPU'!$B$5:$B$64,C23)=0,"站点ID不存在",IF(AND(H23&lt;&gt;"",COUNTIF($H$5:$H$84,H23)&gt;1),"IP地址重复",IF(AND(G23&lt;&gt;"",COUNTIF($G$5:$G$84,G23)&gt;1),"设备名称重复","通过"))))))</x:f>
      </x:c>
    </x:row>
    <x:row r="24">
      <x:c r="A24" s="37"/>
      <x:c r="B24" s="37"/>
      <x:c r="C24" s="37"/>
      <x:c r="D24" s="37"/>
      <x:c r="E24" s="37"/>
      <x:c r="F24" s="37"/>
      <x:c r="G24" s="38"/>
      <x:c r="H24" s="38"/>
      <x:c r="I24" s="38"/>
      <x:c r="J24" s="38"/>
      <x:c r="K24" s="38"/>
      <x:c r="L24" s="38"/>
      <x:c r="M24" s="38"/>
      <x:c r="N24" s="38"/>
      <x:c r="O24" s="42" t="str">
        <x:f>IF(A24="","",IF(A24="跳过","跳过",IF(OR(B24="",C24="",D24="",E24="",F24=""),"缺少必填项",IF(COUNTIF('站点与CPU'!$B$5:$B$64,C24)=0,"站点ID不存在",IF(AND(H24&lt;&gt;"",COUNTIF($H$5:$H$84,H24)&gt;1),"IP地址重复",IF(AND(G24&lt;&gt;"",COUNTIF($G$5:$G$84,G24)&gt;1),"设备名称重复","通过"))))))</x:f>
      </x:c>
    </x:row>
    <x:row r="25">
      <x:c r="A25" s="37"/>
      <x:c r="B25" s="37"/>
      <x:c r="C25" s="37"/>
      <x:c r="D25" s="37"/>
      <x:c r="E25" s="37"/>
      <x:c r="F25" s="37"/>
      <x:c r="G25" s="38"/>
      <x:c r="H25" s="38"/>
      <x:c r="I25" s="38"/>
      <x:c r="J25" s="38"/>
      <x:c r="K25" s="38"/>
      <x:c r="L25" s="38"/>
      <x:c r="M25" s="38"/>
      <x:c r="N25" s="38"/>
      <x:c r="O25" s="42" t="str">
        <x:f>IF(A25="","",IF(A25="跳过","跳过",IF(OR(B25="",C25="",D25="",E25="",F25=""),"缺少必填项",IF(COUNTIF('站点与CPU'!$B$5:$B$64,C25)=0,"站点ID不存在",IF(AND(H25&lt;&gt;"",COUNTIF($H$5:$H$84,H25)&gt;1),"IP地址重复",IF(AND(G25&lt;&gt;"",COUNTIF($G$5:$G$84,G25)&gt;1),"设备名称重复","通过"))))))</x:f>
      </x:c>
    </x:row>
    <x:row r="26">
      <x:c r="A26" s="37"/>
      <x:c r="B26" s="37"/>
      <x:c r="C26" s="37"/>
      <x:c r="D26" s="37"/>
      <x:c r="E26" s="37"/>
      <x:c r="F26" s="37"/>
      <x:c r="G26" s="38"/>
      <x:c r="H26" s="38"/>
      <x:c r="I26" s="38"/>
      <x:c r="J26" s="38"/>
      <x:c r="K26" s="38"/>
      <x:c r="L26" s="38"/>
      <x:c r="M26" s="38"/>
      <x:c r="N26" s="38"/>
      <x:c r="O26" s="42" t="str">
        <x:f>IF(A26="","",IF(A26="跳过","跳过",IF(OR(B26="",C26="",D26="",E26="",F26=""),"缺少必填项",IF(COUNTIF('站点与CPU'!$B$5:$B$64,C26)=0,"站点ID不存在",IF(AND(H26&lt;&gt;"",COUNTIF($H$5:$H$84,H26)&gt;1),"IP地址重复",IF(AND(G26&lt;&gt;"",COUNTIF($G$5:$G$84,G26)&gt;1),"设备名称重复","通过"))))))</x:f>
      </x:c>
    </x:row>
    <x:row r="27">
      <x:c r="A27" s="37"/>
      <x:c r="B27" s="37"/>
      <x:c r="C27" s="37"/>
      <x:c r="D27" s="37"/>
      <x:c r="E27" s="37"/>
      <x:c r="F27" s="37"/>
      <x:c r="G27" s="38"/>
      <x:c r="H27" s="38"/>
      <x:c r="I27" s="38"/>
      <x:c r="J27" s="38"/>
      <x:c r="K27" s="38"/>
      <x:c r="L27" s="38"/>
      <x:c r="M27" s="38"/>
      <x:c r="N27" s="38"/>
      <x:c r="O27" s="42" t="str">
        <x:f>IF(A27="","",IF(A27="跳过","跳过",IF(OR(B27="",C27="",D27="",E27="",F27=""),"缺少必填项",IF(COUNTIF('站点与CPU'!$B$5:$B$64,C27)=0,"站点ID不存在",IF(AND(H27&lt;&gt;"",COUNTIF($H$5:$H$84,H27)&gt;1),"IP地址重复",IF(AND(G27&lt;&gt;"",COUNTIF($G$5:$G$84,G27)&gt;1),"设备名称重复","通过"))))))</x:f>
      </x:c>
    </x:row>
    <x:row r="28">
      <x:c r="A28" s="37"/>
      <x:c r="B28" s="37"/>
      <x:c r="C28" s="37"/>
      <x:c r="D28" s="37"/>
      <x:c r="E28" s="37"/>
      <x:c r="F28" s="37"/>
      <x:c r="G28" s="38"/>
      <x:c r="H28" s="38"/>
      <x:c r="I28" s="38"/>
      <x:c r="J28" s="38"/>
      <x:c r="K28" s="38"/>
      <x:c r="L28" s="38"/>
      <x:c r="M28" s="38"/>
      <x:c r="N28" s="38"/>
      <x:c r="O28" s="42" t="str">
        <x:f>IF(A28="","",IF(A28="跳过","跳过",IF(OR(B28="",C28="",D28="",E28="",F28=""),"缺少必填项",IF(COUNTIF('站点与CPU'!$B$5:$B$64,C28)=0,"站点ID不存在",IF(AND(H28&lt;&gt;"",COUNTIF($H$5:$H$84,H28)&gt;1),"IP地址重复",IF(AND(G28&lt;&gt;"",COUNTIF($G$5:$G$84,G28)&gt;1),"设备名称重复","通过"))))))</x:f>
      </x:c>
    </x:row>
    <x:row r="29">
      <x:c r="A29" s="37"/>
      <x:c r="B29" s="37"/>
      <x:c r="C29" s="37"/>
      <x:c r="D29" s="37"/>
      <x:c r="E29" s="37"/>
      <x:c r="F29" s="37"/>
      <x:c r="G29" s="38"/>
      <x:c r="H29" s="38"/>
      <x:c r="I29" s="38"/>
      <x:c r="J29" s="38"/>
      <x:c r="K29" s="38"/>
      <x:c r="L29" s="38"/>
      <x:c r="M29" s="38"/>
      <x:c r="N29" s="38"/>
      <x:c r="O29" s="42" t="str">
        <x:f>IF(A29="","",IF(A29="跳过","跳过",IF(OR(B29="",C29="",D29="",E29="",F29=""),"缺少必填项",IF(COUNTIF('站点与CPU'!$B$5:$B$64,C29)=0,"站点ID不存在",IF(AND(H29&lt;&gt;"",COUNTIF($H$5:$H$84,H29)&gt;1),"IP地址重复",IF(AND(G29&lt;&gt;"",COUNTIF($G$5:$G$84,G29)&gt;1),"设备名称重复","通过"))))))</x:f>
      </x:c>
    </x:row>
    <x:row r="30">
      <x:c r="A30" s="37"/>
      <x:c r="B30" s="37"/>
      <x:c r="C30" s="37"/>
      <x:c r="D30" s="37"/>
      <x:c r="E30" s="37"/>
      <x:c r="F30" s="37"/>
      <x:c r="G30" s="38"/>
      <x:c r="H30" s="38"/>
      <x:c r="I30" s="38"/>
      <x:c r="J30" s="38"/>
      <x:c r="K30" s="38"/>
      <x:c r="L30" s="38"/>
      <x:c r="M30" s="38"/>
      <x:c r="N30" s="38"/>
      <x:c r="O30" s="42" t="str">
        <x:f>IF(A30="","",IF(A30="跳过","跳过",IF(OR(B30="",C30="",D30="",E30="",F30=""),"缺少必填项",IF(COUNTIF('站点与CPU'!$B$5:$B$64,C30)=0,"站点ID不存在",IF(AND(H30&lt;&gt;"",COUNTIF($H$5:$H$84,H30)&gt;1),"IP地址重复",IF(AND(G30&lt;&gt;"",COUNTIF($G$5:$G$84,G30)&gt;1),"设备名称重复","通过"))))))</x:f>
      </x:c>
    </x:row>
    <x:row r="31">
      <x:c r="A31" s="37"/>
      <x:c r="B31" s="37"/>
      <x:c r="C31" s="37"/>
      <x:c r="D31" s="37"/>
      <x:c r="E31" s="37"/>
      <x:c r="F31" s="37"/>
      <x:c r="G31" s="38"/>
      <x:c r="H31" s="38"/>
      <x:c r="I31" s="38"/>
      <x:c r="J31" s="38"/>
      <x:c r="K31" s="38"/>
      <x:c r="L31" s="38"/>
      <x:c r="M31" s="38"/>
      <x:c r="N31" s="38"/>
      <x:c r="O31" s="42" t="str">
        <x:f>IF(A31="","",IF(A31="跳过","跳过",IF(OR(B31="",C31="",D31="",E31="",F31=""),"缺少必填项",IF(COUNTIF('站点与CPU'!$B$5:$B$64,C31)=0,"站点ID不存在",IF(AND(H31&lt;&gt;"",COUNTIF($H$5:$H$84,H31)&gt;1),"IP地址重复",IF(AND(G31&lt;&gt;"",COUNTIF($G$5:$G$84,G31)&gt;1),"设备名称重复","通过"))))))</x:f>
      </x:c>
    </x:row>
    <x:row r="32">
      <x:c r="A32" s="37"/>
      <x:c r="B32" s="37"/>
      <x:c r="C32" s="37"/>
      <x:c r="D32" s="37"/>
      <x:c r="E32" s="37"/>
      <x:c r="F32" s="37"/>
      <x:c r="G32" s="38"/>
      <x:c r="H32" s="38"/>
      <x:c r="I32" s="38"/>
      <x:c r="J32" s="38"/>
      <x:c r="K32" s="38"/>
      <x:c r="L32" s="38"/>
      <x:c r="M32" s="38"/>
      <x:c r="N32" s="38"/>
      <x:c r="O32" s="42" t="str">
        <x:f>IF(A32="","",IF(A32="跳过","跳过",IF(OR(B32="",C32="",D32="",E32="",F32=""),"缺少必填项",IF(COUNTIF('站点与CPU'!$B$5:$B$64,C32)=0,"站点ID不存在",IF(AND(H32&lt;&gt;"",COUNTIF($H$5:$H$84,H32)&gt;1),"IP地址重复",IF(AND(G32&lt;&gt;"",COUNTIF($G$5:$G$84,G32)&gt;1),"设备名称重复","通过"))))))</x:f>
      </x:c>
    </x:row>
    <x:row r="33">
      <x:c r="A33" s="37"/>
      <x:c r="B33" s="37"/>
      <x:c r="C33" s="37"/>
      <x:c r="D33" s="37"/>
      <x:c r="E33" s="37"/>
      <x:c r="F33" s="37"/>
      <x:c r="G33" s="38"/>
      <x:c r="H33" s="38"/>
      <x:c r="I33" s="38"/>
      <x:c r="J33" s="38"/>
      <x:c r="K33" s="38"/>
      <x:c r="L33" s="38"/>
      <x:c r="M33" s="38"/>
      <x:c r="N33" s="38"/>
      <x:c r="O33" s="42" t="str">
        <x:f>IF(A33="","",IF(A33="跳过","跳过",IF(OR(B33="",C33="",D33="",E33="",F33=""),"缺少必填项",IF(COUNTIF('站点与CPU'!$B$5:$B$64,C33)=0,"站点ID不存在",IF(AND(H33&lt;&gt;"",COUNTIF($H$5:$H$84,H33)&gt;1),"IP地址重复",IF(AND(G33&lt;&gt;"",COUNTIF($G$5:$G$84,G33)&gt;1),"设备名称重复","通过"))))))</x:f>
      </x:c>
    </x:row>
    <x:row r="34">
      <x:c r="A34" s="37"/>
      <x:c r="B34" s="37"/>
      <x:c r="C34" s="37"/>
      <x:c r="D34" s="37"/>
      <x:c r="E34" s="37"/>
      <x:c r="F34" s="37"/>
      <x:c r="G34" s="38"/>
      <x:c r="H34" s="38"/>
      <x:c r="I34" s="38"/>
      <x:c r="J34" s="38"/>
      <x:c r="K34" s="38"/>
      <x:c r="L34" s="38"/>
      <x:c r="M34" s="38"/>
      <x:c r="N34" s="38"/>
      <x:c r="O34" s="42" t="str">
        <x:f>IF(A34="","",IF(A34="跳过","跳过",IF(OR(B34="",C34="",D34="",E34="",F34=""),"缺少必填项",IF(COUNTIF('站点与CPU'!$B$5:$B$64,C34)=0,"站点ID不存在",IF(AND(H34&lt;&gt;"",COUNTIF($H$5:$H$84,H34)&gt;1),"IP地址重复",IF(AND(G34&lt;&gt;"",COUNTIF($G$5:$G$84,G34)&gt;1),"设备名称重复","通过"))))))</x:f>
      </x:c>
    </x:row>
    <x:row r="35">
      <x:c r="A35" s="37"/>
      <x:c r="B35" s="37"/>
      <x:c r="C35" s="37"/>
      <x:c r="D35" s="37"/>
      <x:c r="E35" s="37"/>
      <x:c r="F35" s="37"/>
      <x:c r="G35" s="38"/>
      <x:c r="H35" s="38"/>
      <x:c r="I35" s="38"/>
      <x:c r="J35" s="38"/>
      <x:c r="K35" s="38"/>
      <x:c r="L35" s="38"/>
      <x:c r="M35" s="38"/>
      <x:c r="N35" s="38"/>
      <x:c r="O35" s="42" t="str">
        <x:f>IF(A35="","",IF(A35="跳过","跳过",IF(OR(B35="",C35="",D35="",E35="",F35=""),"缺少必填项",IF(COUNTIF('站点与CPU'!$B$5:$B$64,C35)=0,"站点ID不存在",IF(AND(H35&lt;&gt;"",COUNTIF($H$5:$H$84,H35)&gt;1),"IP地址重复",IF(AND(G35&lt;&gt;"",COUNTIF($G$5:$G$84,G35)&gt;1),"设备名称重复","通过"))))))</x:f>
      </x:c>
    </x:row>
    <x:row r="36">
      <x:c r="A36" s="37"/>
      <x:c r="B36" s="37"/>
      <x:c r="C36" s="37"/>
      <x:c r="D36" s="37"/>
      <x:c r="E36" s="37"/>
      <x:c r="F36" s="37"/>
      <x:c r="G36" s="38"/>
      <x:c r="H36" s="38"/>
      <x:c r="I36" s="38"/>
      <x:c r="J36" s="38"/>
      <x:c r="K36" s="38"/>
      <x:c r="L36" s="38"/>
      <x:c r="M36" s="38"/>
      <x:c r="N36" s="38"/>
      <x:c r="O36" s="42" t="str">
        <x:f>IF(A36="","",IF(A36="跳过","跳过",IF(OR(B36="",C36="",D36="",E36="",F36=""),"缺少必填项",IF(COUNTIF('站点与CPU'!$B$5:$B$64,C36)=0,"站点ID不存在",IF(AND(H36&lt;&gt;"",COUNTIF($H$5:$H$84,H36)&gt;1),"IP地址重复",IF(AND(G36&lt;&gt;"",COUNTIF($G$5:$G$84,G36)&gt;1),"设备名称重复","通过"))))))</x:f>
      </x:c>
    </x:row>
    <x:row r="37">
      <x:c r="A37" s="37"/>
      <x:c r="B37" s="37"/>
      <x:c r="C37" s="37"/>
      <x:c r="D37" s="37"/>
      <x:c r="E37" s="37"/>
      <x:c r="F37" s="37"/>
      <x:c r="G37" s="38"/>
      <x:c r="H37" s="38"/>
      <x:c r="I37" s="38"/>
      <x:c r="J37" s="38"/>
      <x:c r="K37" s="38"/>
      <x:c r="L37" s="38"/>
      <x:c r="M37" s="38"/>
      <x:c r="N37" s="38"/>
      <x:c r="O37" s="42" t="str">
        <x:f>IF(A37="","",IF(A37="跳过","跳过",IF(OR(B37="",C37="",D37="",E37="",F37=""),"缺少必填项",IF(COUNTIF('站点与CPU'!$B$5:$B$64,C37)=0,"站点ID不存在",IF(AND(H37&lt;&gt;"",COUNTIF($H$5:$H$84,H37)&gt;1),"IP地址重复",IF(AND(G37&lt;&gt;"",COUNTIF($G$5:$G$84,G37)&gt;1),"设备名称重复","通过"))))))</x:f>
      </x:c>
    </x:row>
    <x:row r="38">
      <x:c r="A38" s="37"/>
      <x:c r="B38" s="37"/>
      <x:c r="C38" s="37"/>
      <x:c r="D38" s="37"/>
      <x:c r="E38" s="37"/>
      <x:c r="F38" s="37"/>
      <x:c r="G38" s="38"/>
      <x:c r="H38" s="38"/>
      <x:c r="I38" s="38"/>
      <x:c r="J38" s="38"/>
      <x:c r="K38" s="38"/>
      <x:c r="L38" s="38"/>
      <x:c r="M38" s="38"/>
      <x:c r="N38" s="38"/>
      <x:c r="O38" s="42" t="str">
        <x:f>IF(A38="","",IF(A38="跳过","跳过",IF(OR(B38="",C38="",D38="",E38="",F38=""),"缺少必填项",IF(COUNTIF('站点与CPU'!$B$5:$B$64,C38)=0,"站点ID不存在",IF(AND(H38&lt;&gt;"",COUNTIF($H$5:$H$84,H38)&gt;1),"IP地址重复",IF(AND(G38&lt;&gt;"",COUNTIF($G$5:$G$84,G38)&gt;1),"设备名称重复","通过"))))))</x:f>
      </x:c>
    </x:row>
    <x:row r="39">
      <x:c r="A39" s="37"/>
      <x:c r="B39" s="37"/>
      <x:c r="C39" s="37"/>
      <x:c r="D39" s="37"/>
      <x:c r="E39" s="37"/>
      <x:c r="F39" s="37"/>
      <x:c r="G39" s="38"/>
      <x:c r="H39" s="38"/>
      <x:c r="I39" s="38"/>
      <x:c r="J39" s="38"/>
      <x:c r="K39" s="38"/>
      <x:c r="L39" s="38"/>
      <x:c r="M39" s="38"/>
      <x:c r="N39" s="38"/>
      <x:c r="O39" s="42" t="str">
        <x:f>IF(A39="","",IF(A39="跳过","跳过",IF(OR(B39="",C39="",D39="",E39="",F39=""),"缺少必填项",IF(COUNTIF('站点与CPU'!$B$5:$B$64,C39)=0,"站点ID不存在",IF(AND(H39&lt;&gt;"",COUNTIF($H$5:$H$84,H39)&gt;1),"IP地址重复",IF(AND(G39&lt;&gt;"",COUNTIF($G$5:$G$84,G39)&gt;1),"设备名称重复","通过"))))))</x:f>
      </x:c>
    </x:row>
    <x:row r="40">
      <x:c r="A40" s="37"/>
      <x:c r="B40" s="37"/>
      <x:c r="C40" s="37"/>
      <x:c r="D40" s="37"/>
      <x:c r="E40" s="37"/>
      <x:c r="F40" s="37"/>
      <x:c r="G40" s="38"/>
      <x:c r="H40" s="38"/>
      <x:c r="I40" s="38"/>
      <x:c r="J40" s="38"/>
      <x:c r="K40" s="38"/>
      <x:c r="L40" s="38"/>
      <x:c r="M40" s="38"/>
      <x:c r="N40" s="38"/>
      <x:c r="O40" s="42" t="str">
        <x:f>IF(A40="","",IF(A40="跳过","跳过",IF(OR(B40="",C40="",D40="",E40="",F40=""),"缺少必填项",IF(COUNTIF('站点与CPU'!$B$5:$B$64,C40)=0,"站点ID不存在",IF(AND(H40&lt;&gt;"",COUNTIF($H$5:$H$84,H40)&gt;1),"IP地址重复",IF(AND(G40&lt;&gt;"",COUNTIF($G$5:$G$84,G40)&gt;1),"设备名称重复","通过"))))))</x:f>
      </x:c>
    </x:row>
    <x:row r="41">
      <x:c r="A41" s="37"/>
      <x:c r="B41" s="37"/>
      <x:c r="C41" s="37"/>
      <x:c r="D41" s="37"/>
      <x:c r="E41" s="37"/>
      <x:c r="F41" s="37"/>
      <x:c r="G41" s="38"/>
      <x:c r="H41" s="38"/>
      <x:c r="I41" s="38"/>
      <x:c r="J41" s="38"/>
      <x:c r="K41" s="38"/>
      <x:c r="L41" s="38"/>
      <x:c r="M41" s="38"/>
      <x:c r="N41" s="38"/>
      <x:c r="O41" s="42" t="str">
        <x:f>IF(A41="","",IF(A41="跳过","跳过",IF(OR(B41="",C41="",D41="",E41="",F41=""),"缺少必填项",IF(COUNTIF('站点与CPU'!$B$5:$B$64,C41)=0,"站点ID不存在",IF(AND(H41&lt;&gt;"",COUNTIF($H$5:$H$84,H41)&gt;1),"IP地址重复",IF(AND(G41&lt;&gt;"",COUNTIF($G$5:$G$84,G41)&gt;1),"设备名称重复","通过"))))))</x:f>
      </x:c>
    </x:row>
    <x:row r="42">
      <x:c r="A42" s="37"/>
      <x:c r="B42" s="37"/>
      <x:c r="C42" s="37"/>
      <x:c r="D42" s="37"/>
      <x:c r="E42" s="37"/>
      <x:c r="F42" s="37"/>
      <x:c r="G42" s="38"/>
      <x:c r="H42" s="38"/>
      <x:c r="I42" s="38"/>
      <x:c r="J42" s="38"/>
      <x:c r="K42" s="38"/>
      <x:c r="L42" s="38"/>
      <x:c r="M42" s="38"/>
      <x:c r="N42" s="38"/>
      <x:c r="O42" s="42" t="str">
        <x:f>IF(A42="","",IF(A42="跳过","跳过",IF(OR(B42="",C42="",D42="",E42="",F42=""),"缺少必填项",IF(COUNTIF('站点与CPU'!$B$5:$B$64,C42)=0,"站点ID不存在",IF(AND(H42&lt;&gt;"",COUNTIF($H$5:$H$84,H42)&gt;1),"IP地址重复",IF(AND(G42&lt;&gt;"",COUNTIF($G$5:$G$84,G42)&gt;1),"设备名称重复","通过"))))))</x:f>
      </x:c>
    </x:row>
    <x:row r="43">
      <x:c r="A43" s="37"/>
      <x:c r="B43" s="37"/>
      <x:c r="C43" s="37"/>
      <x:c r="D43" s="37"/>
      <x:c r="E43" s="37"/>
      <x:c r="F43" s="37"/>
      <x:c r="G43" s="38"/>
      <x:c r="H43" s="38"/>
      <x:c r="I43" s="38"/>
      <x:c r="J43" s="38"/>
      <x:c r="K43" s="38"/>
      <x:c r="L43" s="38"/>
      <x:c r="M43" s="38"/>
      <x:c r="N43" s="38"/>
      <x:c r="O43" s="42" t="str">
        <x:f>IF(A43="","",IF(A43="跳过","跳过",IF(OR(B43="",C43="",D43="",E43="",F43=""),"缺少必填项",IF(COUNTIF('站点与CPU'!$B$5:$B$64,C43)=0,"站点ID不存在",IF(AND(H43&lt;&gt;"",COUNTIF($H$5:$H$84,H43)&gt;1),"IP地址重复",IF(AND(G43&lt;&gt;"",COUNTIF($G$5:$G$84,G43)&gt;1),"设备名称重复","通过"))))))</x:f>
      </x:c>
    </x:row>
    <x:row r="44">
      <x:c r="A44" s="37"/>
      <x:c r="B44" s="37"/>
      <x:c r="C44" s="37"/>
      <x:c r="D44" s="37"/>
      <x:c r="E44" s="37"/>
      <x:c r="F44" s="37"/>
      <x:c r="G44" s="38"/>
      <x:c r="H44" s="38"/>
      <x:c r="I44" s="38"/>
      <x:c r="J44" s="38"/>
      <x:c r="K44" s="38"/>
      <x:c r="L44" s="38"/>
      <x:c r="M44" s="38"/>
      <x:c r="N44" s="38"/>
      <x:c r="O44" s="42" t="str">
        <x:f>IF(A44="","",IF(A44="跳过","跳过",IF(OR(B44="",C44="",D44="",E44="",F44=""),"缺少必填项",IF(COUNTIF('站点与CPU'!$B$5:$B$64,C44)=0,"站点ID不存在",IF(AND(H44&lt;&gt;"",COUNTIF($H$5:$H$84,H44)&gt;1),"IP地址重复",IF(AND(G44&lt;&gt;"",COUNTIF($G$5:$G$84,G44)&gt;1),"设备名称重复","通过"))))))</x:f>
      </x:c>
    </x:row>
    <x:row r="45">
      <x:c r="A45" s="37"/>
      <x:c r="B45" s="37"/>
      <x:c r="C45" s="37"/>
      <x:c r="D45" s="37"/>
      <x:c r="E45" s="37"/>
      <x:c r="F45" s="37"/>
      <x:c r="G45" s="38"/>
      <x:c r="H45" s="38"/>
      <x:c r="I45" s="38"/>
      <x:c r="J45" s="38"/>
      <x:c r="K45" s="38"/>
      <x:c r="L45" s="38"/>
      <x:c r="M45" s="38"/>
      <x:c r="N45" s="38"/>
      <x:c r="O45" s="42" t="str">
        <x:f>IF(A45="","",IF(A45="跳过","跳过",IF(OR(B45="",C45="",D45="",E45="",F45=""),"缺少必填项",IF(COUNTIF('站点与CPU'!$B$5:$B$64,C45)=0,"站点ID不存在",IF(AND(H45&lt;&gt;"",COUNTIF($H$5:$H$84,H45)&gt;1),"IP地址重复",IF(AND(G45&lt;&gt;"",COUNTIF($G$5:$G$84,G45)&gt;1),"设备名称重复","通过"))))))</x:f>
      </x:c>
    </x:row>
    <x:row r="46">
      <x:c r="A46" s="37"/>
      <x:c r="B46" s="37"/>
      <x:c r="C46" s="37"/>
      <x:c r="D46" s="37"/>
      <x:c r="E46" s="37"/>
      <x:c r="F46" s="37"/>
      <x:c r="G46" s="38"/>
      <x:c r="H46" s="38"/>
      <x:c r="I46" s="38"/>
      <x:c r="J46" s="38"/>
      <x:c r="K46" s="38"/>
      <x:c r="L46" s="38"/>
      <x:c r="M46" s="38"/>
      <x:c r="N46" s="38"/>
      <x:c r="O46" s="42" t="str">
        <x:f>IF(A46="","",IF(A46="跳过","跳过",IF(OR(B46="",C46="",D46="",E46="",F46=""),"缺少必填项",IF(COUNTIF('站点与CPU'!$B$5:$B$64,C46)=0,"站点ID不存在",IF(AND(H46&lt;&gt;"",COUNTIF($H$5:$H$84,H46)&gt;1),"IP地址重复",IF(AND(G46&lt;&gt;"",COUNTIF($G$5:$G$84,G46)&gt;1),"设备名称重复","通过"))))))</x:f>
      </x:c>
    </x:row>
    <x:row r="47">
      <x:c r="A47" s="37"/>
      <x:c r="B47" s="37"/>
      <x:c r="C47" s="37"/>
      <x:c r="D47" s="37"/>
      <x:c r="E47" s="37"/>
      <x:c r="F47" s="37"/>
      <x:c r="G47" s="38"/>
      <x:c r="H47" s="38"/>
      <x:c r="I47" s="38"/>
      <x:c r="J47" s="38"/>
      <x:c r="K47" s="38"/>
      <x:c r="L47" s="38"/>
      <x:c r="M47" s="38"/>
      <x:c r="N47" s="38"/>
      <x:c r="O47" s="42" t="str">
        <x:f>IF(A47="","",IF(A47="跳过","跳过",IF(OR(B47="",C47="",D47="",E47="",F47=""),"缺少必填项",IF(COUNTIF('站点与CPU'!$B$5:$B$64,C47)=0,"站点ID不存在",IF(AND(H47&lt;&gt;"",COUNTIF($H$5:$H$84,H47)&gt;1),"IP地址重复",IF(AND(G47&lt;&gt;"",COUNTIF($G$5:$G$84,G47)&gt;1),"设备名称重复","通过"))))))</x:f>
      </x:c>
    </x:row>
    <x:row r="48">
      <x:c r="A48" s="37"/>
      <x:c r="B48" s="37"/>
      <x:c r="C48" s="37"/>
      <x:c r="D48" s="37"/>
      <x:c r="E48" s="37"/>
      <x:c r="F48" s="37"/>
      <x:c r="G48" s="38"/>
      <x:c r="H48" s="38"/>
      <x:c r="I48" s="38"/>
      <x:c r="J48" s="38"/>
      <x:c r="K48" s="38"/>
      <x:c r="L48" s="38"/>
      <x:c r="M48" s="38"/>
      <x:c r="N48" s="38"/>
      <x:c r="O48" s="42" t="str">
        <x:f>IF(A48="","",IF(A48="跳过","跳过",IF(OR(B48="",C48="",D48="",E48="",F48=""),"缺少必填项",IF(COUNTIF('站点与CPU'!$B$5:$B$64,C48)=0,"站点ID不存在",IF(AND(H48&lt;&gt;"",COUNTIF($H$5:$H$84,H48)&gt;1),"IP地址重复",IF(AND(G48&lt;&gt;"",COUNTIF($G$5:$G$84,G48)&gt;1),"设备名称重复","通过"))))))</x:f>
      </x:c>
    </x:row>
    <x:row r="49">
      <x:c r="A49" s="37"/>
      <x:c r="B49" s="37"/>
      <x:c r="C49" s="37"/>
      <x:c r="D49" s="37"/>
      <x:c r="E49" s="37"/>
      <x:c r="F49" s="37"/>
      <x:c r="G49" s="38"/>
      <x:c r="H49" s="38"/>
      <x:c r="I49" s="38"/>
      <x:c r="J49" s="38"/>
      <x:c r="K49" s="38"/>
      <x:c r="L49" s="38"/>
      <x:c r="M49" s="38"/>
      <x:c r="N49" s="38"/>
      <x:c r="O49" s="42" t="str">
        <x:f>IF(A49="","",IF(A49="跳过","跳过",IF(OR(B49="",C49="",D49="",E49="",F49=""),"缺少必填项",IF(COUNTIF('站点与CPU'!$B$5:$B$64,C49)=0,"站点ID不存在",IF(AND(H49&lt;&gt;"",COUNTIF($H$5:$H$84,H49)&gt;1),"IP地址重复",IF(AND(G49&lt;&gt;"",COUNTIF($G$5:$G$84,G49)&gt;1),"设备名称重复","通过"))))))</x:f>
      </x:c>
    </x:row>
    <x:row r="50">
      <x:c r="A50" s="37"/>
      <x:c r="B50" s="37"/>
      <x:c r="C50" s="37"/>
      <x:c r="D50" s="37"/>
      <x:c r="E50" s="37"/>
      <x:c r="F50" s="37"/>
      <x:c r="G50" s="38"/>
      <x:c r="H50" s="38"/>
      <x:c r="I50" s="38"/>
      <x:c r="J50" s="38"/>
      <x:c r="K50" s="38"/>
      <x:c r="L50" s="38"/>
      <x:c r="M50" s="38"/>
      <x:c r="N50" s="38"/>
      <x:c r="O50" s="42" t="str">
        <x:f>IF(A50="","",IF(A50="跳过","跳过",IF(OR(B50="",C50="",D50="",E50="",F50=""),"缺少必填项",IF(COUNTIF('站点与CPU'!$B$5:$B$64,C50)=0,"站点ID不存在",IF(AND(H50&lt;&gt;"",COUNTIF($H$5:$H$84,H50)&gt;1),"IP地址重复",IF(AND(G50&lt;&gt;"",COUNTIF($G$5:$G$84,G50)&gt;1),"设备名称重复","通过"))))))</x:f>
      </x:c>
    </x:row>
    <x:row r="51">
      <x:c r="A51" s="37"/>
      <x:c r="B51" s="37"/>
      <x:c r="C51" s="37"/>
      <x:c r="D51" s="37"/>
      <x:c r="E51" s="37"/>
      <x:c r="F51" s="37"/>
      <x:c r="G51" s="38"/>
      <x:c r="H51" s="38"/>
      <x:c r="I51" s="38"/>
      <x:c r="J51" s="38"/>
      <x:c r="K51" s="38"/>
      <x:c r="L51" s="38"/>
      <x:c r="M51" s="38"/>
      <x:c r="N51" s="38"/>
      <x:c r="O51" s="42" t="str">
        <x:f>IF(A51="","",IF(A51="跳过","跳过",IF(OR(B51="",C51="",D51="",E51="",F51=""),"缺少必填项",IF(COUNTIF('站点与CPU'!$B$5:$B$64,C51)=0,"站点ID不存在",IF(AND(H51&lt;&gt;"",COUNTIF($H$5:$H$84,H51)&gt;1),"IP地址重复",IF(AND(G51&lt;&gt;"",COUNTIF($G$5:$G$84,G51)&gt;1),"设备名称重复","通过"))))))</x:f>
      </x:c>
    </x:row>
    <x:row r="52">
      <x:c r="A52" s="37"/>
      <x:c r="B52" s="37"/>
      <x:c r="C52" s="37"/>
      <x:c r="D52" s="37"/>
      <x:c r="E52" s="37"/>
      <x:c r="F52" s="37"/>
      <x:c r="G52" s="38"/>
      <x:c r="H52" s="38"/>
      <x:c r="I52" s="38"/>
      <x:c r="J52" s="38"/>
      <x:c r="K52" s="38"/>
      <x:c r="L52" s="38"/>
      <x:c r="M52" s="38"/>
      <x:c r="N52" s="38"/>
      <x:c r="O52" s="42" t="str">
        <x:f>IF(A52="","",IF(A52="跳过","跳过",IF(OR(B52="",C52="",D52="",E52="",F52=""),"缺少必填项",IF(COUNTIF('站点与CPU'!$B$5:$B$64,C52)=0,"站点ID不存在",IF(AND(H52&lt;&gt;"",COUNTIF($H$5:$H$84,H52)&gt;1),"IP地址重复",IF(AND(G52&lt;&gt;"",COUNTIF($G$5:$G$84,G52)&gt;1),"设备名称重复","通过"))))))</x:f>
      </x:c>
    </x:row>
    <x:row r="53">
      <x:c r="A53" s="37"/>
      <x:c r="B53" s="37"/>
      <x:c r="C53" s="37"/>
      <x:c r="D53" s="37"/>
      <x:c r="E53" s="37"/>
      <x:c r="F53" s="37"/>
      <x:c r="G53" s="38"/>
      <x:c r="H53" s="38"/>
      <x:c r="I53" s="38"/>
      <x:c r="J53" s="38"/>
      <x:c r="K53" s="38"/>
      <x:c r="L53" s="38"/>
      <x:c r="M53" s="38"/>
      <x:c r="N53" s="38"/>
      <x:c r="O53" s="42" t="str">
        <x:f>IF(A53="","",IF(A53="跳过","跳过",IF(OR(B53="",C53="",D53="",E53="",F53=""),"缺少必填项",IF(COUNTIF('站点与CPU'!$B$5:$B$64,C53)=0,"站点ID不存在",IF(AND(H53&lt;&gt;"",COUNTIF($H$5:$H$84,H53)&gt;1),"IP地址重复",IF(AND(G53&lt;&gt;"",COUNTIF($G$5:$G$84,G53)&gt;1),"设备名称重复","通过"))))))</x:f>
      </x:c>
    </x:row>
    <x:row r="54">
      <x:c r="A54" s="37"/>
      <x:c r="B54" s="37"/>
      <x:c r="C54" s="37"/>
      <x:c r="D54" s="37"/>
      <x:c r="E54" s="37"/>
      <x:c r="F54" s="37"/>
      <x:c r="G54" s="38"/>
      <x:c r="H54" s="38"/>
      <x:c r="I54" s="38"/>
      <x:c r="J54" s="38"/>
      <x:c r="K54" s="38"/>
      <x:c r="L54" s="38"/>
      <x:c r="M54" s="38"/>
      <x:c r="N54" s="38"/>
      <x:c r="O54" s="42" t="str">
        <x:f>IF(A54="","",IF(A54="跳过","跳过",IF(OR(B54="",C54="",D54="",E54="",F54=""),"缺少必填项",IF(COUNTIF('站点与CPU'!$B$5:$B$64,C54)=0,"站点ID不存在",IF(AND(H54&lt;&gt;"",COUNTIF($H$5:$H$84,H54)&gt;1),"IP地址重复",IF(AND(G54&lt;&gt;"",COUNTIF($G$5:$G$84,G54)&gt;1),"设备名称重复","通过"))))))</x:f>
      </x:c>
    </x:row>
    <x:row r="55">
      <x:c r="A55" s="37"/>
      <x:c r="B55" s="37"/>
      <x:c r="C55" s="37"/>
      <x:c r="D55" s="37"/>
      <x:c r="E55" s="37"/>
      <x:c r="F55" s="37"/>
      <x:c r="G55" s="38"/>
      <x:c r="H55" s="38"/>
      <x:c r="I55" s="38"/>
      <x:c r="J55" s="38"/>
      <x:c r="K55" s="38"/>
      <x:c r="L55" s="38"/>
      <x:c r="M55" s="38"/>
      <x:c r="N55" s="38"/>
      <x:c r="O55" s="42" t="str">
        <x:f>IF(A55="","",IF(A55="跳过","跳过",IF(OR(B55="",C55="",D55="",E55="",F55=""),"缺少必填项",IF(COUNTIF('站点与CPU'!$B$5:$B$64,C55)=0,"站点ID不存在",IF(AND(H55&lt;&gt;"",COUNTIF($H$5:$H$84,H55)&gt;1),"IP地址重复",IF(AND(G55&lt;&gt;"",COUNTIF($G$5:$G$84,G55)&gt;1),"设备名称重复","通过"))))))</x:f>
      </x:c>
    </x:row>
    <x:row r="56">
      <x:c r="A56" s="37"/>
      <x:c r="B56" s="37"/>
      <x:c r="C56" s="37"/>
      <x:c r="D56" s="37"/>
      <x:c r="E56" s="37"/>
      <x:c r="F56" s="37"/>
      <x:c r="G56" s="38"/>
      <x:c r="H56" s="38"/>
      <x:c r="I56" s="38"/>
      <x:c r="J56" s="38"/>
      <x:c r="K56" s="38"/>
      <x:c r="L56" s="38"/>
      <x:c r="M56" s="38"/>
      <x:c r="N56" s="38"/>
      <x:c r="O56" s="42" t="str">
        <x:f>IF(A56="","",IF(A56="跳过","跳过",IF(OR(B56="",C56="",D56="",E56="",F56=""),"缺少必填项",IF(COUNTIF('站点与CPU'!$B$5:$B$64,C56)=0,"站点ID不存在",IF(AND(H56&lt;&gt;"",COUNTIF($H$5:$H$84,H56)&gt;1),"IP地址重复",IF(AND(G56&lt;&gt;"",COUNTIF($G$5:$G$84,G56)&gt;1),"设备名称重复","通过"))))))</x:f>
      </x:c>
    </x:row>
    <x:row r="57">
      <x:c r="A57" s="37"/>
      <x:c r="B57" s="37"/>
      <x:c r="C57" s="37"/>
      <x:c r="D57" s="37"/>
      <x:c r="E57" s="37"/>
      <x:c r="F57" s="37"/>
      <x:c r="G57" s="38"/>
      <x:c r="H57" s="38"/>
      <x:c r="I57" s="38"/>
      <x:c r="J57" s="38"/>
      <x:c r="K57" s="38"/>
      <x:c r="L57" s="38"/>
      <x:c r="M57" s="38"/>
      <x:c r="N57" s="38"/>
      <x:c r="O57" s="42" t="str">
        <x:f>IF(A57="","",IF(A57="跳过","跳过",IF(OR(B57="",C57="",D57="",E57="",F57=""),"缺少必填项",IF(COUNTIF('站点与CPU'!$B$5:$B$64,C57)=0,"站点ID不存在",IF(AND(H57&lt;&gt;"",COUNTIF($H$5:$H$84,H57)&gt;1),"IP地址重复",IF(AND(G57&lt;&gt;"",COUNTIF($G$5:$G$84,G57)&gt;1),"设备名称重复","通过"))))))</x:f>
      </x:c>
    </x:row>
    <x:row r="58">
      <x:c r="A58" s="37"/>
      <x:c r="B58" s="37"/>
      <x:c r="C58" s="37"/>
      <x:c r="D58" s="37"/>
      <x:c r="E58" s="37"/>
      <x:c r="F58" s="37"/>
      <x:c r="G58" s="38"/>
      <x:c r="H58" s="38"/>
      <x:c r="I58" s="38"/>
      <x:c r="J58" s="38"/>
      <x:c r="K58" s="38"/>
      <x:c r="L58" s="38"/>
      <x:c r="M58" s="38"/>
      <x:c r="N58" s="38"/>
      <x:c r="O58" s="42" t="str">
        <x:f>IF(A58="","",IF(A58="跳过","跳过",IF(OR(B58="",C58="",D58="",E58="",F58=""),"缺少必填项",IF(COUNTIF('站点与CPU'!$B$5:$B$64,C58)=0,"站点ID不存在",IF(AND(H58&lt;&gt;"",COUNTIF($H$5:$H$84,H58)&gt;1),"IP地址重复",IF(AND(G58&lt;&gt;"",COUNTIF($G$5:$G$84,G58)&gt;1),"设备名称重复","通过"))))))</x:f>
      </x:c>
    </x:row>
    <x:row r="59">
      <x:c r="A59" s="37"/>
      <x:c r="B59" s="37"/>
      <x:c r="C59" s="37"/>
      <x:c r="D59" s="37"/>
      <x:c r="E59" s="37"/>
      <x:c r="F59" s="37"/>
      <x:c r="G59" s="38"/>
      <x:c r="H59" s="38"/>
      <x:c r="I59" s="38"/>
      <x:c r="J59" s="38"/>
      <x:c r="K59" s="38"/>
      <x:c r="L59" s="38"/>
      <x:c r="M59" s="38"/>
      <x:c r="N59" s="38"/>
      <x:c r="O59" s="42" t="str">
        <x:f>IF(A59="","",IF(A59="跳过","跳过",IF(OR(B59="",C59="",D59="",E59="",F59=""),"缺少必填项",IF(COUNTIF('站点与CPU'!$B$5:$B$64,C59)=0,"站点ID不存在",IF(AND(H59&lt;&gt;"",COUNTIF($H$5:$H$84,H59)&gt;1),"IP地址重复",IF(AND(G59&lt;&gt;"",COUNTIF($G$5:$G$84,G59)&gt;1),"设备名称重复","通过"))))))</x:f>
      </x:c>
    </x:row>
    <x:row r="60">
      <x:c r="A60" s="37"/>
      <x:c r="B60" s="37"/>
      <x:c r="C60" s="37"/>
      <x:c r="D60" s="37"/>
      <x:c r="E60" s="37"/>
      <x:c r="F60" s="37"/>
      <x:c r="G60" s="38"/>
      <x:c r="H60" s="38"/>
      <x:c r="I60" s="38"/>
      <x:c r="J60" s="38"/>
      <x:c r="K60" s="38"/>
      <x:c r="L60" s="38"/>
      <x:c r="M60" s="38"/>
      <x:c r="N60" s="38"/>
      <x:c r="O60" s="42" t="str">
        <x:f>IF(A60="","",IF(A60="跳过","跳过",IF(OR(B60="",C60="",D60="",E60="",F60=""),"缺少必填项",IF(COUNTIF('站点与CPU'!$B$5:$B$64,C60)=0,"站点ID不存在",IF(AND(H60&lt;&gt;"",COUNTIF($H$5:$H$84,H60)&gt;1),"IP地址重复",IF(AND(G60&lt;&gt;"",COUNTIF($G$5:$G$84,G60)&gt;1),"设备名称重复","通过"))))))</x:f>
      </x:c>
    </x:row>
    <x:row r="61">
      <x:c r="A61" s="37"/>
      <x:c r="B61" s="37"/>
      <x:c r="C61" s="37"/>
      <x:c r="D61" s="37"/>
      <x:c r="E61" s="37"/>
      <x:c r="F61" s="37"/>
      <x:c r="G61" s="38"/>
      <x:c r="H61" s="38"/>
      <x:c r="I61" s="38"/>
      <x:c r="J61" s="38"/>
      <x:c r="K61" s="38"/>
      <x:c r="L61" s="38"/>
      <x:c r="M61" s="38"/>
      <x:c r="N61" s="38"/>
      <x:c r="O61" s="42" t="str">
        <x:f>IF(A61="","",IF(A61="跳过","跳过",IF(OR(B61="",C61="",D61="",E61="",F61=""),"缺少必填项",IF(COUNTIF('站点与CPU'!$B$5:$B$64,C61)=0,"站点ID不存在",IF(AND(H61&lt;&gt;"",COUNTIF($H$5:$H$84,H61)&gt;1),"IP地址重复",IF(AND(G61&lt;&gt;"",COUNTIF($G$5:$G$84,G61)&gt;1),"设备名称重复","通过"))))))</x:f>
      </x:c>
    </x:row>
    <x:row r="62">
      <x:c r="A62" s="37"/>
      <x:c r="B62" s="37"/>
      <x:c r="C62" s="37"/>
      <x:c r="D62" s="37"/>
      <x:c r="E62" s="37"/>
      <x:c r="F62" s="37"/>
      <x:c r="G62" s="38"/>
      <x:c r="H62" s="38"/>
      <x:c r="I62" s="38"/>
      <x:c r="J62" s="38"/>
      <x:c r="K62" s="38"/>
      <x:c r="L62" s="38"/>
      <x:c r="M62" s="38"/>
      <x:c r="N62" s="38"/>
      <x:c r="O62" s="42" t="str">
        <x:f>IF(A62="","",IF(A62="跳过","跳过",IF(OR(B62="",C62="",D62="",E62="",F62=""),"缺少必填项",IF(COUNTIF('站点与CPU'!$B$5:$B$64,C62)=0,"站点ID不存在",IF(AND(H62&lt;&gt;"",COUNTIF($H$5:$H$84,H62)&gt;1),"IP地址重复",IF(AND(G62&lt;&gt;"",COUNTIF($G$5:$G$84,G62)&gt;1),"设备名称重复","通过"))))))</x:f>
      </x:c>
    </x:row>
    <x:row r="63">
      <x:c r="A63" s="37"/>
      <x:c r="B63" s="37"/>
      <x:c r="C63" s="37"/>
      <x:c r="D63" s="37"/>
      <x:c r="E63" s="37"/>
      <x:c r="F63" s="37"/>
      <x:c r="G63" s="38"/>
      <x:c r="H63" s="38"/>
      <x:c r="I63" s="38"/>
      <x:c r="J63" s="38"/>
      <x:c r="K63" s="38"/>
      <x:c r="L63" s="38"/>
      <x:c r="M63" s="38"/>
      <x:c r="N63" s="38"/>
      <x:c r="O63" s="42" t="str">
        <x:f>IF(A63="","",IF(A63="跳过","跳过",IF(OR(B63="",C63="",D63="",E63="",F63=""),"缺少必填项",IF(COUNTIF('站点与CPU'!$B$5:$B$64,C63)=0,"站点ID不存在",IF(AND(H63&lt;&gt;"",COUNTIF($H$5:$H$84,H63)&gt;1),"IP地址重复",IF(AND(G63&lt;&gt;"",COUNTIF($G$5:$G$84,G63)&gt;1),"设备名称重复","通过"))))))</x:f>
      </x:c>
    </x:row>
    <x:row r="64">
      <x:c r="A64" s="37"/>
      <x:c r="B64" s="37"/>
      <x:c r="C64" s="37"/>
      <x:c r="D64" s="37"/>
      <x:c r="E64" s="37"/>
      <x:c r="F64" s="37"/>
      <x:c r="G64" s="38"/>
      <x:c r="H64" s="38"/>
      <x:c r="I64" s="38"/>
      <x:c r="J64" s="38"/>
      <x:c r="K64" s="38"/>
      <x:c r="L64" s="38"/>
      <x:c r="M64" s="38"/>
      <x:c r="N64" s="38"/>
      <x:c r="O64" s="42" t="str">
        <x:f>IF(A64="","",IF(A64="跳过","跳过",IF(OR(B64="",C64="",D64="",E64="",F64=""),"缺少必填项",IF(COUNTIF('站点与CPU'!$B$5:$B$64,C64)=0,"站点ID不存在",IF(AND(H64&lt;&gt;"",COUNTIF($H$5:$H$84,H64)&gt;1),"IP地址重复",IF(AND(G64&lt;&gt;"",COUNTIF($G$5:$G$84,G64)&gt;1),"设备名称重复","通过"))))))</x:f>
      </x:c>
    </x:row>
    <x:row r="65">
      <x:c r="A65" s="37"/>
      <x:c r="B65" s="37"/>
      <x:c r="C65" s="37"/>
      <x:c r="D65" s="37"/>
      <x:c r="E65" s="37"/>
      <x:c r="F65" s="37"/>
      <x:c r="G65" s="38"/>
      <x:c r="H65" s="38"/>
      <x:c r="I65" s="38"/>
      <x:c r="J65" s="38"/>
      <x:c r="K65" s="38"/>
      <x:c r="L65" s="38"/>
      <x:c r="M65" s="38"/>
      <x:c r="N65" s="38"/>
      <x:c r="O65" s="42" t="str">
        <x:f>IF(A65="","",IF(A65="跳过","跳过",IF(OR(B65="",C65="",D65="",E65="",F65=""),"缺少必填项",IF(COUNTIF('站点与CPU'!$B$5:$B$64,C65)=0,"站点ID不存在",IF(AND(H65&lt;&gt;"",COUNTIF($H$5:$H$84,H65)&gt;1),"IP地址重复",IF(AND(G65&lt;&gt;"",COUNTIF($G$5:$G$84,G65)&gt;1),"设备名称重复","通过"))))))</x:f>
      </x:c>
    </x:row>
    <x:row r="66">
      <x:c r="A66" s="37"/>
      <x:c r="B66" s="37"/>
      <x:c r="C66" s="37"/>
      <x:c r="D66" s="37"/>
      <x:c r="E66" s="37"/>
      <x:c r="F66" s="37"/>
      <x:c r="G66" s="38"/>
      <x:c r="H66" s="38"/>
      <x:c r="I66" s="38"/>
      <x:c r="J66" s="38"/>
      <x:c r="K66" s="38"/>
      <x:c r="L66" s="38"/>
      <x:c r="M66" s="38"/>
      <x:c r="N66" s="38"/>
      <x:c r="O66" s="42" t="str">
        <x:f>IF(A66="","",IF(A66="跳过","跳过",IF(OR(B66="",C66="",D66="",E66="",F66=""),"缺少必填项",IF(COUNTIF('站点与CPU'!$B$5:$B$64,C66)=0,"站点ID不存在",IF(AND(H66&lt;&gt;"",COUNTIF($H$5:$H$84,H66)&gt;1),"IP地址重复",IF(AND(G66&lt;&gt;"",COUNTIF($G$5:$G$84,G66)&gt;1),"设备名称重复","通过"))))))</x:f>
      </x:c>
    </x:row>
    <x:row r="67">
      <x:c r="A67" s="37"/>
      <x:c r="B67" s="37"/>
      <x:c r="C67" s="37"/>
      <x:c r="D67" s="37"/>
      <x:c r="E67" s="37"/>
      <x:c r="F67" s="37"/>
      <x:c r="G67" s="38"/>
      <x:c r="H67" s="38"/>
      <x:c r="I67" s="38"/>
      <x:c r="J67" s="38"/>
      <x:c r="K67" s="38"/>
      <x:c r="L67" s="38"/>
      <x:c r="M67" s="38"/>
      <x:c r="N67" s="38"/>
      <x:c r="O67" s="42" t="str">
        <x:f>IF(A67="","",IF(A67="跳过","跳过",IF(OR(B67="",C67="",D67="",E67="",F67=""),"缺少必填项",IF(COUNTIF('站点与CPU'!$B$5:$B$64,C67)=0,"站点ID不存在",IF(AND(H67&lt;&gt;"",COUNTIF($H$5:$H$84,H67)&gt;1),"IP地址重复",IF(AND(G67&lt;&gt;"",COUNTIF($G$5:$G$84,G67)&gt;1),"设备名称重复","通过"))))))</x:f>
      </x:c>
    </x:row>
    <x:row r="68">
      <x:c r="A68" s="37"/>
      <x:c r="B68" s="37"/>
      <x:c r="C68" s="37"/>
      <x:c r="D68" s="37"/>
      <x:c r="E68" s="37"/>
      <x:c r="F68" s="37"/>
      <x:c r="G68" s="38"/>
      <x:c r="H68" s="38"/>
      <x:c r="I68" s="38"/>
      <x:c r="J68" s="38"/>
      <x:c r="K68" s="38"/>
      <x:c r="L68" s="38"/>
      <x:c r="M68" s="38"/>
      <x:c r="N68" s="38"/>
      <x:c r="O68" s="42" t="str">
        <x:f>IF(A68="","",IF(A68="跳过","跳过",IF(OR(B68="",C68="",D68="",E68="",F68=""),"缺少必填项",IF(COUNTIF('站点与CPU'!$B$5:$B$64,C68)=0,"站点ID不存在",IF(AND(H68&lt;&gt;"",COUNTIF($H$5:$H$84,H68)&gt;1),"IP地址重复",IF(AND(G68&lt;&gt;"",COUNTIF($G$5:$G$84,G68)&gt;1),"设备名称重复","通过"))))))</x:f>
      </x:c>
    </x:row>
    <x:row r="69">
      <x:c r="A69" s="37"/>
      <x:c r="B69" s="37"/>
      <x:c r="C69" s="37"/>
      <x:c r="D69" s="37"/>
      <x:c r="E69" s="37"/>
      <x:c r="F69" s="37"/>
      <x:c r="G69" s="38"/>
      <x:c r="H69" s="38"/>
      <x:c r="I69" s="38"/>
      <x:c r="J69" s="38"/>
      <x:c r="K69" s="38"/>
      <x:c r="L69" s="38"/>
      <x:c r="M69" s="38"/>
      <x:c r="N69" s="38"/>
      <x:c r="O69" s="42" t="str">
        <x:f>IF(A69="","",IF(A69="跳过","跳过",IF(OR(B69="",C69="",D69="",E69="",F69=""),"缺少必填项",IF(COUNTIF('站点与CPU'!$B$5:$B$64,C69)=0,"站点ID不存在",IF(AND(H69&lt;&gt;"",COUNTIF($H$5:$H$84,H69)&gt;1),"IP地址重复",IF(AND(G69&lt;&gt;"",COUNTIF($G$5:$G$84,G69)&gt;1),"设备名称重复","通过"))))))</x:f>
      </x:c>
    </x:row>
    <x:row r="70">
      <x:c r="A70" s="37"/>
      <x:c r="B70" s="37"/>
      <x:c r="C70" s="37"/>
      <x:c r="D70" s="37"/>
      <x:c r="E70" s="37"/>
      <x:c r="F70" s="37"/>
      <x:c r="G70" s="38"/>
      <x:c r="H70" s="38"/>
      <x:c r="I70" s="38"/>
      <x:c r="J70" s="38"/>
      <x:c r="K70" s="38"/>
      <x:c r="L70" s="38"/>
      <x:c r="M70" s="38"/>
      <x:c r="N70" s="38"/>
      <x:c r="O70" s="42" t="str">
        <x:f>IF(A70="","",IF(A70="跳过","跳过",IF(OR(B70="",C70="",D70="",E70="",F70=""),"缺少必填项",IF(COUNTIF('站点与CPU'!$B$5:$B$64,C70)=0,"站点ID不存在",IF(AND(H70&lt;&gt;"",COUNTIF($H$5:$H$84,H70)&gt;1),"IP地址重复",IF(AND(G70&lt;&gt;"",COUNTIF($G$5:$G$84,G70)&gt;1),"设备名称重复","通过"))))))</x:f>
      </x:c>
    </x:row>
    <x:row r="71">
      <x:c r="A71" s="37"/>
      <x:c r="B71" s="37"/>
      <x:c r="C71" s="37"/>
      <x:c r="D71" s="37"/>
      <x:c r="E71" s="37"/>
      <x:c r="F71" s="37"/>
      <x:c r="G71" s="38"/>
      <x:c r="H71" s="38"/>
      <x:c r="I71" s="38"/>
      <x:c r="J71" s="38"/>
      <x:c r="K71" s="38"/>
      <x:c r="L71" s="38"/>
      <x:c r="M71" s="38"/>
      <x:c r="N71" s="38"/>
      <x:c r="O71" s="42" t="str">
        <x:f>IF(A71="","",IF(A71="跳过","跳过",IF(OR(B71="",C71="",D71="",E71="",F71=""),"缺少必填项",IF(COUNTIF('站点与CPU'!$B$5:$B$64,C71)=0,"站点ID不存在",IF(AND(H71&lt;&gt;"",COUNTIF($H$5:$H$84,H71)&gt;1),"IP地址重复",IF(AND(G71&lt;&gt;"",COUNTIF($G$5:$G$84,G71)&gt;1),"设备名称重复","通过"))))))</x:f>
      </x:c>
    </x:row>
    <x:row r="72">
      <x:c r="A72" s="37"/>
      <x:c r="B72" s="37"/>
      <x:c r="C72" s="37"/>
      <x:c r="D72" s="37"/>
      <x:c r="E72" s="37"/>
      <x:c r="F72" s="37"/>
      <x:c r="G72" s="38"/>
      <x:c r="H72" s="38"/>
      <x:c r="I72" s="38"/>
      <x:c r="J72" s="38"/>
      <x:c r="K72" s="38"/>
      <x:c r="L72" s="38"/>
      <x:c r="M72" s="38"/>
      <x:c r="N72" s="38"/>
      <x:c r="O72" s="42" t="str">
        <x:f>IF(A72="","",IF(A72="跳过","跳过",IF(OR(B72="",C72="",D72="",E72="",F72=""),"缺少必填项",IF(COUNTIF('站点与CPU'!$B$5:$B$64,C72)=0,"站点ID不存在",IF(AND(H72&lt;&gt;"",COUNTIF($H$5:$H$84,H72)&gt;1),"IP地址重复",IF(AND(G72&lt;&gt;"",COUNTIF($G$5:$G$84,G72)&gt;1),"设备名称重复","通过"))))))</x:f>
      </x:c>
    </x:row>
    <x:row r="73">
      <x:c r="A73" s="37"/>
      <x:c r="B73" s="37"/>
      <x:c r="C73" s="37"/>
      <x:c r="D73" s="37"/>
      <x:c r="E73" s="37"/>
      <x:c r="F73" s="37"/>
      <x:c r="G73" s="38"/>
      <x:c r="H73" s="38"/>
      <x:c r="I73" s="38"/>
      <x:c r="J73" s="38"/>
      <x:c r="K73" s="38"/>
      <x:c r="L73" s="38"/>
      <x:c r="M73" s="38"/>
      <x:c r="N73" s="38"/>
      <x:c r="O73" s="42" t="str">
        <x:f>IF(A73="","",IF(A73="跳过","跳过",IF(OR(B73="",C73="",D73="",E73="",F73=""),"缺少必填项",IF(COUNTIF('站点与CPU'!$B$5:$B$64,C73)=0,"站点ID不存在",IF(AND(H73&lt;&gt;"",COUNTIF($H$5:$H$84,H73)&gt;1),"IP地址重复",IF(AND(G73&lt;&gt;"",COUNTIF($G$5:$G$84,G73)&gt;1),"设备名称重复","通过"))))))</x:f>
      </x:c>
    </x:row>
    <x:row r="74">
      <x:c r="A74" s="37"/>
      <x:c r="B74" s="37"/>
      <x:c r="C74" s="37"/>
      <x:c r="D74" s="37"/>
      <x:c r="E74" s="37"/>
      <x:c r="F74" s="37"/>
      <x:c r="G74" s="38"/>
      <x:c r="H74" s="38"/>
      <x:c r="I74" s="38"/>
      <x:c r="J74" s="38"/>
      <x:c r="K74" s="38"/>
      <x:c r="L74" s="38"/>
      <x:c r="M74" s="38"/>
      <x:c r="N74" s="38"/>
      <x:c r="O74" s="42" t="str">
        <x:f>IF(A74="","",IF(A74="跳过","跳过",IF(OR(B74="",C74="",D74="",E74="",F74=""),"缺少必填项",IF(COUNTIF('站点与CPU'!$B$5:$B$64,C74)=0,"站点ID不存在",IF(AND(H74&lt;&gt;"",COUNTIF($H$5:$H$84,H74)&gt;1),"IP地址重复",IF(AND(G74&lt;&gt;"",COUNTIF($G$5:$G$84,G74)&gt;1),"设备名称重复","通过"))))))</x:f>
      </x:c>
    </x:row>
    <x:row r="75">
      <x:c r="A75" s="37"/>
      <x:c r="B75" s="37"/>
      <x:c r="C75" s="37"/>
      <x:c r="D75" s="37"/>
      <x:c r="E75" s="37"/>
      <x:c r="F75" s="37"/>
      <x:c r="G75" s="38"/>
      <x:c r="H75" s="38"/>
      <x:c r="I75" s="38"/>
      <x:c r="J75" s="38"/>
      <x:c r="K75" s="38"/>
      <x:c r="L75" s="38"/>
      <x:c r="M75" s="38"/>
      <x:c r="N75" s="38"/>
      <x:c r="O75" s="42" t="str">
        <x:f>IF(A75="","",IF(A75="跳过","跳过",IF(OR(B75="",C75="",D75="",E75="",F75=""),"缺少必填项",IF(COUNTIF('站点与CPU'!$B$5:$B$64,C75)=0,"站点ID不存在",IF(AND(H75&lt;&gt;"",COUNTIF($H$5:$H$84,H75)&gt;1),"IP地址重复",IF(AND(G75&lt;&gt;"",COUNTIF($G$5:$G$84,G75)&gt;1),"设备名称重复","通过"))))))</x:f>
      </x:c>
    </x:row>
    <x:row r="76">
      <x:c r="A76" s="37"/>
      <x:c r="B76" s="37"/>
      <x:c r="C76" s="37"/>
      <x:c r="D76" s="37"/>
      <x:c r="E76" s="37"/>
      <x:c r="F76" s="37"/>
      <x:c r="G76" s="38"/>
      <x:c r="H76" s="38"/>
      <x:c r="I76" s="38"/>
      <x:c r="J76" s="38"/>
      <x:c r="K76" s="38"/>
      <x:c r="L76" s="38"/>
      <x:c r="M76" s="38"/>
      <x:c r="N76" s="38"/>
      <x:c r="O76" s="42" t="str">
        <x:f>IF(A76="","",IF(A76="跳过","跳过",IF(OR(B76="",C76="",D76="",E76="",F76=""),"缺少必填项",IF(COUNTIF('站点与CPU'!$B$5:$B$64,C76)=0,"站点ID不存在",IF(AND(H76&lt;&gt;"",COUNTIF($H$5:$H$84,H76)&gt;1),"IP地址重复",IF(AND(G76&lt;&gt;"",COUNTIF($G$5:$G$84,G76)&gt;1),"设备名称重复","通过"))))))</x:f>
      </x:c>
    </x:row>
    <x:row r="77">
      <x:c r="A77" s="37"/>
      <x:c r="B77" s="37"/>
      <x:c r="C77" s="37"/>
      <x:c r="D77" s="37"/>
      <x:c r="E77" s="37"/>
      <x:c r="F77" s="37"/>
      <x:c r="G77" s="38"/>
      <x:c r="H77" s="38"/>
      <x:c r="I77" s="38"/>
      <x:c r="J77" s="38"/>
      <x:c r="K77" s="38"/>
      <x:c r="L77" s="38"/>
      <x:c r="M77" s="38"/>
      <x:c r="N77" s="38"/>
      <x:c r="O77" s="42" t="str">
        <x:f>IF(A77="","",IF(A77="跳过","跳过",IF(OR(B77="",C77="",D77="",E77="",F77=""),"缺少必填项",IF(COUNTIF('站点与CPU'!$B$5:$B$64,C77)=0,"站点ID不存在",IF(AND(H77&lt;&gt;"",COUNTIF($H$5:$H$84,H77)&gt;1),"IP地址重复",IF(AND(G77&lt;&gt;"",COUNTIF($G$5:$G$84,G77)&gt;1),"设备名称重复","通过"))))))</x:f>
      </x:c>
    </x:row>
    <x:row r="78">
      <x:c r="A78" s="37"/>
      <x:c r="B78" s="37"/>
      <x:c r="C78" s="37"/>
      <x:c r="D78" s="37"/>
      <x:c r="E78" s="37"/>
      <x:c r="F78" s="37"/>
      <x:c r="G78" s="38"/>
      <x:c r="H78" s="38"/>
      <x:c r="I78" s="38"/>
      <x:c r="J78" s="38"/>
      <x:c r="K78" s="38"/>
      <x:c r="L78" s="38"/>
      <x:c r="M78" s="38"/>
      <x:c r="N78" s="38"/>
      <x:c r="O78" s="42" t="str">
        <x:f>IF(A78="","",IF(A78="跳过","跳过",IF(OR(B78="",C78="",D78="",E78="",F78=""),"缺少必填项",IF(COUNTIF('站点与CPU'!$B$5:$B$64,C78)=0,"站点ID不存在",IF(AND(H78&lt;&gt;"",COUNTIF($H$5:$H$84,H78)&gt;1),"IP地址重复",IF(AND(G78&lt;&gt;"",COUNTIF($G$5:$G$84,G78)&gt;1),"设备名称重复","通过"))))))</x:f>
      </x:c>
    </x:row>
    <x:row r="79">
      <x:c r="A79" s="37"/>
      <x:c r="B79" s="37"/>
      <x:c r="C79" s="37"/>
      <x:c r="D79" s="37"/>
      <x:c r="E79" s="37"/>
      <x:c r="F79" s="37"/>
      <x:c r="G79" s="38"/>
      <x:c r="H79" s="38"/>
      <x:c r="I79" s="38"/>
      <x:c r="J79" s="38"/>
      <x:c r="K79" s="38"/>
      <x:c r="L79" s="38"/>
      <x:c r="M79" s="38"/>
      <x:c r="N79" s="38"/>
      <x:c r="O79" s="42" t="str">
        <x:f>IF(A79="","",IF(A79="跳过","跳过",IF(OR(B79="",C79="",D79="",E79="",F79=""),"缺少必填项",IF(COUNTIF('站点与CPU'!$B$5:$B$64,C79)=0,"站点ID不存在",IF(AND(H79&lt;&gt;"",COUNTIF($H$5:$H$84,H79)&gt;1),"IP地址重复",IF(AND(G79&lt;&gt;"",COUNTIF($G$5:$G$84,G79)&gt;1),"设备名称重复","通过"))))))</x:f>
      </x:c>
    </x:row>
    <x:row r="80">
      <x:c r="A80" s="37"/>
      <x:c r="B80" s="37"/>
      <x:c r="C80" s="37"/>
      <x:c r="D80" s="37"/>
      <x:c r="E80" s="37"/>
      <x:c r="F80" s="37"/>
      <x:c r="G80" s="38"/>
      <x:c r="H80" s="38"/>
      <x:c r="I80" s="38"/>
      <x:c r="J80" s="38"/>
      <x:c r="K80" s="38"/>
      <x:c r="L80" s="38"/>
      <x:c r="M80" s="38"/>
      <x:c r="N80" s="38"/>
      <x:c r="O80" s="42" t="str">
        <x:f>IF(A80="","",IF(A80="跳过","跳过",IF(OR(B80="",C80="",D80="",E80="",F80=""),"缺少必填项",IF(COUNTIF('站点与CPU'!$B$5:$B$64,C80)=0,"站点ID不存在",IF(AND(H80&lt;&gt;"",COUNTIF($H$5:$H$84,H80)&gt;1),"IP地址重复",IF(AND(G80&lt;&gt;"",COUNTIF($G$5:$G$84,G80)&gt;1),"设备名称重复","通过"))))))</x:f>
      </x:c>
    </x:row>
    <x:row r="81">
      <x:c r="A81" s="37"/>
      <x:c r="B81" s="37"/>
      <x:c r="C81" s="37"/>
      <x:c r="D81" s="37"/>
      <x:c r="E81" s="37"/>
      <x:c r="F81" s="37"/>
      <x:c r="G81" s="38"/>
      <x:c r="H81" s="38"/>
      <x:c r="I81" s="38"/>
      <x:c r="J81" s="38"/>
      <x:c r="K81" s="38"/>
      <x:c r="L81" s="38"/>
      <x:c r="M81" s="38"/>
      <x:c r="N81" s="38"/>
      <x:c r="O81" s="42" t="str">
        <x:f>IF(A81="","",IF(A81="跳过","跳过",IF(OR(B81="",C81="",D81="",E81="",F81=""),"缺少必填项",IF(COUNTIF('站点与CPU'!$B$5:$B$64,C81)=0,"站点ID不存在",IF(AND(H81&lt;&gt;"",COUNTIF($H$5:$H$84,H81)&gt;1),"IP地址重复",IF(AND(G81&lt;&gt;"",COUNTIF($G$5:$G$84,G81)&gt;1),"设备名称重复","通过"))))))</x:f>
      </x:c>
    </x:row>
    <x:row r="82">
      <x:c r="A82" s="37"/>
      <x:c r="B82" s="37"/>
      <x:c r="C82" s="37"/>
      <x:c r="D82" s="37"/>
      <x:c r="E82" s="37"/>
      <x:c r="F82" s="37"/>
      <x:c r="G82" s="38"/>
      <x:c r="H82" s="38"/>
      <x:c r="I82" s="38"/>
      <x:c r="J82" s="38"/>
      <x:c r="K82" s="38"/>
      <x:c r="L82" s="38"/>
      <x:c r="M82" s="38"/>
      <x:c r="N82" s="38"/>
      <x:c r="O82" s="42" t="str">
        <x:f>IF(A82="","",IF(A82="跳过","跳过",IF(OR(B82="",C82="",D82="",E82="",F82=""),"缺少必填项",IF(COUNTIF('站点与CPU'!$B$5:$B$64,C82)=0,"站点ID不存在",IF(AND(H82&lt;&gt;"",COUNTIF($H$5:$H$84,H82)&gt;1),"IP地址重复",IF(AND(G82&lt;&gt;"",COUNTIF($G$5:$G$84,G82)&gt;1),"设备名称重复","通过"))))))</x:f>
      </x:c>
    </x:row>
    <x:row r="83">
      <x:c r="A83" s="37"/>
      <x:c r="B83" s="37"/>
      <x:c r="C83" s="37"/>
      <x:c r="D83" s="37"/>
      <x:c r="E83" s="37"/>
      <x:c r="F83" s="37"/>
      <x:c r="G83" s="38"/>
      <x:c r="H83" s="38"/>
      <x:c r="I83" s="38"/>
      <x:c r="J83" s="38"/>
      <x:c r="K83" s="38"/>
      <x:c r="L83" s="38"/>
      <x:c r="M83" s="38"/>
      <x:c r="N83" s="38"/>
      <x:c r="O83" s="42" t="str">
        <x:f>IF(A83="","",IF(A83="跳过","跳过",IF(OR(B83="",C83="",D83="",E83="",F83=""),"缺少必填项",IF(COUNTIF('站点与CPU'!$B$5:$B$64,C83)=0,"站点ID不存在",IF(AND(H83&lt;&gt;"",COUNTIF($H$5:$H$84,H83)&gt;1),"IP地址重复",IF(AND(G83&lt;&gt;"",COUNTIF($G$5:$G$84,G83)&gt;1),"设备名称重复","通过"))))))</x:f>
      </x:c>
    </x:row>
    <x:row r="84">
      <x:c r="A84" s="39"/>
      <x:c r="B84" s="39"/>
      <x:c r="C84" s="39"/>
      <x:c r="D84" s="39"/>
      <x:c r="E84" s="39"/>
      <x:c r="F84" s="39"/>
      <x:c r="G84" s="40"/>
      <x:c r="H84" s="40"/>
      <x:c r="I84" s="40"/>
      <x:c r="J84" s="40"/>
      <x:c r="K84" s="40"/>
      <x:c r="L84" s="40"/>
      <x:c r="M84" s="40"/>
      <x:c r="N84" s="40"/>
      <x:c r="O84" s="43" t="str">
        <x:f>IF(A84="","",IF(A84="跳过","跳过",IF(OR(B84="",C84="",D84="",E84="",F84=""),"缺少必填项",IF(COUNTIF('站点与CPU'!$B$5:$B$64,C84)=0,"站点ID不存在",IF(AND(H84&lt;&gt;"",COUNTIF($H$5:$H$84,H84)&gt;1),"IP地址重复",IF(AND(G84&lt;&gt;"",COUNTIF($G$5:$G$84,G84)&gt;1),"设备名称重复","通过"))))))</x:f>
      </x:c>
    </x:row>
  </x:sheetData>
  <x:mergeCells>
    <x:mergeCell ref="A1:O1"/>
    <x:mergeCell ref="A2:O2"/>
  </x:mergeCells>
  <x:conditionalFormatting sqref="O5:O84">
    <x:cfRule type="containsText" dxfId="8" priority="1" operator="containsText" text="通过"/>
    <x:cfRule type="containsText" dxfId="9" priority="2" operator="containsText" text="缺少"/>
    <x:cfRule type="containsText" dxfId="10" priority="3" operator="containsText" text="重复"/>
    <x:cfRule type="containsText" dxfId="11" priority="4" operator="containsText" text="不存在"/>
  </x:conditionalFormatting>
  <x:dataValidations count="4">
    <x:dataValidation type="list" sqref="A5:A84">
      <x:formula1>选项!$A$2:$A$6</x:formula1>
    </x:dataValidation>
    <x:dataValidation type="list" sqref="E5:E84">
      <x:formula1>选项!$E$2:$E$6</x:formula1>
    </x:dataValidation>
    <x:dataValidation type="list" sqref="M5:M84">
      <x:formula1>选项!$F$2:$F$5</x:formula1>
    </x:dataValidation>
    <x:dataValidation type="whole" operator="between" sqref="L5:L84">
      <x:formula1>1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4b4cd7a2f964e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2" hidden="0" customWidth="1"/>
    <x:col min="7" max="7" width="24" hidden="0" customWidth="1"/>
    <x:col min="8" max="8" width="16" hidden="0" customWidth="1"/>
    <x:col min="9" max="9" width="14" hidden="0" customWidth="1"/>
    <x:col min="10" max="10" width="30" hidden="0" customWidth="1"/>
    <x:col min="11" max="11" width="12" hidden="0" customWidth="1"/>
    <x:col min="12" max="12" width="12" hidden="0" customWidth="1"/>
    <x:col min="13" max="13" width="14" hidden="0" customWidth="1"/>
    <x:col min="14" max="14" width="20" hidden="0" customWidth="1"/>
    <x:col min="15" max="15" width="28" hidden="0" customWidth="1"/>
    <x:col min="16" max="16" width="18" hidden="0" customWidth="1"/>
  </x:cols>
  <x:sheetData>
    <x:row r="1" ht="34" customHeight="1">
      <x:c r="A1" s="3" t="str">
        <x:v>I/O 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6" t="str">
        <x:v>用于生成 PLC 变量表及地址映射。逻辑地址示例：I0.0、IW64、Q4.2、QW100。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8" customHeight="1">
      <x:c r="A4" s="28" t="str">
        <x:v>操作*</x:v>
      </x:c>
      <x:c r="B4" s="29" t="str">
        <x:v>站点ID*</x:v>
      </x:c>
      <x:c r="C4" s="29" t="str">
        <x:v>模块名称*</x:v>
      </x:c>
      <x:c r="D4" s="29" t="str">
        <x:v>槽位*</x:v>
      </x:c>
      <x:c r="E4" s="29" t="str">
        <x:v>通道*</x:v>
      </x:c>
      <x:c r="F4" s="29" t="str">
        <x:v>方向*</x:v>
      </x:c>
      <x:c r="G4" s="29" t="str">
        <x:v>符号名称*</x:v>
      </x:c>
      <x:c r="H4" s="29" t="str">
        <x:v>逻辑地址*</x:v>
      </x:c>
      <x:c r="I4" s="29" t="str">
        <x:v>数据类型*</x:v>
      </x:c>
      <x:c r="J4" s="29" t="str">
        <x:v>信号描述</x:v>
      </x:c>
      <x:c r="K4" s="29" t="str">
        <x:v>工程单位</x:v>
      </x:c>
      <x:c r="L4" s="29" t="str">
        <x:v>常态</x:v>
      </x:c>
      <x:c r="M4" s="29" t="str">
        <x:v>滤波时间(ms)</x:v>
      </x:c>
      <x:c r="N4" s="29" t="str">
        <x:v>变量表</x:v>
      </x:c>
      <x:c r="O4" s="29" t="str">
        <x:v>备注</x:v>
      </x:c>
      <x:c r="P4" s="30" t="str">
        <x:v>校验结果</x:v>
      </x:c>
    </x:row>
    <x:row r="5">
      <x:c r="A5" s="35" t="str">
        <x:v>新建</x:v>
      </x:c>
      <x:c r="B5" s="35" t="str">
        <x:v>PLC_01</x:v>
      </x:c>
      <x:c r="C5" s="35" t="str">
        <x:v>CPU_1516</x:v>
      </x:c>
      <x:c r="D5" s="35" t="n">
        <x:v>1</x:v>
      </x:c>
      <x:c r="E5" s="35" t="n">
        <x:v>0</x:v>
      </x:c>
      <x:c r="F5" s="35" t="str">
        <x:v>输入</x:v>
      </x:c>
      <x:c r="G5" s="35" t="str">
        <x:v>Start_Button</x:v>
      </x:c>
      <x:c r="H5" s="35" t="str">
        <x:v>I0.0</x:v>
      </x:c>
      <x:c r="I5" s="35" t="str">
        <x:v>Bool</x:v>
      </x:c>
      <x:c r="J5" s="36" t="str">
        <x:v>启动按钮</x:v>
      </x:c>
      <x:c r="K5" s="36" t="str"/>
      <x:c r="L5" s="36" t="str">
        <x:v>常开</x:v>
      </x:c>
      <x:c r="M5" s="36" t="n">
        <x:v>3</x:v>
      </x:c>
      <x:c r="N5" s="36" t="str">
        <x:v>Hardware_IO</x:v>
      </x:c>
      <x:c r="O5" s="36" t="str">
        <x:v>示例行，可直接覆盖</x:v>
      </x:c>
      <x:c r="P5" s="41" t="str">
        <x:f>IF(A5="","",IF(A5="跳过","跳过",IF(OR(B5="",C5="",LEN(D5)=0,LEN(E5)=0,F5="",G5="",H5="",I5=""),"缺少必填项",IF(COUNTIF('站点与CPU'!$B$5:$B$64,B5)=0,"站点ID不存在",IF(COUNTIF('硬件模块'!$F$5:$F$124,C5)=0,"模块名称不存在",IF(COUNTIF($G$5:$G$164,G5)&gt;1,"符号名称重复",IF(COUNTIF($H$5:$H$164,H5)&gt;1,"逻辑地址重复","通过")))))))</x:f>
        <x:v>通过</x:v>
      </x:c>
    </x:row>
    <x:row r="6">
      <x:c r="A6" s="37"/>
      <x:c r="B6" s="37"/>
      <x:c r="C6" s="37"/>
      <x:c r="D6" s="37"/>
      <x:c r="E6" s="37"/>
      <x:c r="F6" s="37"/>
      <x:c r="G6" s="37"/>
      <x:c r="H6" s="37"/>
      <x:c r="I6" s="37"/>
      <x:c r="J6" s="38"/>
      <x:c r="K6" s="38"/>
      <x:c r="L6" s="38"/>
      <x:c r="M6" s="38"/>
      <x:c r="N6" s="38"/>
      <x:c r="O6" s="38"/>
      <x:c r="P6" s="42" t="str">
        <x:f>IF(A6="","",IF(A6="跳过","跳过",IF(OR(B6="",C6="",LEN(D6)=0,LEN(E6)=0,F6="",G6="",H6="",I6=""),"缺少必填项",IF(COUNTIF('站点与CPU'!$B$5:$B$64,B6)=0,"站点ID不存在",IF(COUNTIF('硬件模块'!$F$5:$F$124,C6)=0,"模块名称不存在",IF(COUNTIF($G$5:$G$164,G6)&gt;1,"符号名称重复",IF(COUNTIF($H$5:$H$164,H6)&gt;1,"逻辑地址重复","通过")))))))</x:f>
      </x:c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8"/>
      <x:c r="K7" s="38"/>
      <x:c r="L7" s="38"/>
      <x:c r="M7" s="38"/>
      <x:c r="N7" s="38"/>
      <x:c r="O7" s="38"/>
      <x:c r="P7" s="42" t="str">
        <x:f>IF(A7="","",IF(A7="跳过","跳过",IF(OR(B7="",C7="",LEN(D7)=0,LEN(E7)=0,F7="",G7="",H7="",I7=""),"缺少必填项",IF(COUNTIF('站点与CPU'!$B$5:$B$64,B7)=0,"站点ID不存在",IF(COUNTIF('硬件模块'!$F$5:$F$124,C7)=0,"模块名称不存在",IF(COUNTIF($G$5:$G$164,G7)&gt;1,"符号名称重复",IF(COUNTIF($H$5:$H$164,H7)&gt;1,"逻辑地址重复","通过")))))))</x:f>
      </x:c>
    </x:row>
    <x:row r="8">
      <x:c r="A8" s="37"/>
      <x:c r="B8" s="37"/>
      <x:c r="C8" s="37"/>
      <x:c r="D8" s="37"/>
      <x:c r="E8" s="37"/>
      <x:c r="F8" s="37"/>
      <x:c r="G8" s="37"/>
      <x:c r="H8" s="37"/>
      <x:c r="I8" s="37"/>
      <x:c r="J8" s="38"/>
      <x:c r="K8" s="38"/>
      <x:c r="L8" s="38"/>
      <x:c r="M8" s="38"/>
      <x:c r="N8" s="38"/>
      <x:c r="O8" s="38"/>
      <x:c r="P8" s="42" t="str">
        <x:f>IF(A8="","",IF(A8="跳过","跳过",IF(OR(B8="",C8="",LEN(D8)=0,LEN(E8)=0,F8="",G8="",H8="",I8=""),"缺少必填项",IF(COUNTIF('站点与CPU'!$B$5:$B$64,B8)=0,"站点ID不存在",IF(COUNTIF('硬件模块'!$F$5:$F$124,C8)=0,"模块名称不存在",IF(COUNTIF($G$5:$G$164,G8)&gt;1,"符号名称重复",IF(COUNTIF($H$5:$H$164,H8)&gt;1,"逻辑地址重复","通过")))))))</x:f>
      </x:c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  <x:c r="J9" s="38"/>
      <x:c r="K9" s="38"/>
      <x:c r="L9" s="38"/>
      <x:c r="M9" s="38"/>
      <x:c r="N9" s="38"/>
      <x:c r="O9" s="38"/>
      <x:c r="P9" s="42" t="str">
        <x:f>IF(A9="","",IF(A9="跳过","跳过",IF(OR(B9="",C9="",LEN(D9)=0,LEN(E9)=0,F9="",G9="",H9="",I9=""),"缺少必填项",IF(COUNTIF('站点与CPU'!$B$5:$B$64,B9)=0,"站点ID不存在",IF(COUNTIF('硬件模块'!$F$5:$F$124,C9)=0,"模块名称不存在",IF(COUNTIF($G$5:$G$164,G9)&gt;1,"符号名称重复",IF(COUNTIF($H$5:$H$164,H9)&gt;1,"逻辑地址重复","通过")))))))</x:f>
      </x:c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8"/>
      <x:c r="K10" s="38"/>
      <x:c r="L10" s="38"/>
      <x:c r="M10" s="38"/>
      <x:c r="N10" s="38"/>
      <x:c r="O10" s="38"/>
      <x:c r="P10" s="42" t="str">
        <x:f>IF(A10="","",IF(A10="跳过","跳过",IF(OR(B10="",C10="",LEN(D10)=0,LEN(E10)=0,F10="",G10="",H10="",I10=""),"缺少必填项",IF(COUNTIF('站点与CPU'!$B$5:$B$64,B10)=0,"站点ID不存在",IF(COUNTIF('硬件模块'!$F$5:$F$124,C10)=0,"模块名称不存在",IF(COUNTIF($G$5:$G$164,G10)&gt;1,"符号名称重复",IF(COUNTIF($H$5:$H$164,H10)&gt;1,"逻辑地址重复","通过")))))))</x:f>
      </x:c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8"/>
      <x:c r="K11" s="38"/>
      <x:c r="L11" s="38"/>
      <x:c r="M11" s="38"/>
      <x:c r="N11" s="38"/>
      <x:c r="O11" s="38"/>
      <x:c r="P11" s="42" t="str">
        <x:f>IF(A11="","",IF(A11="跳过","跳过",IF(OR(B11="",C11="",LEN(D11)=0,LEN(E11)=0,F11="",G11="",H11="",I11=""),"缺少必填项",IF(COUNTIF('站点与CPU'!$B$5:$B$64,B11)=0,"站点ID不存在",IF(COUNTIF('硬件模块'!$F$5:$F$124,C11)=0,"模块名称不存在",IF(COUNTIF($G$5:$G$164,G11)&gt;1,"符号名称重复",IF(COUNTIF($H$5:$H$164,H11)&gt;1,"逻辑地址重复","通过")))))))</x:f>
      </x:c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8"/>
      <x:c r="K12" s="38"/>
      <x:c r="L12" s="38"/>
      <x:c r="M12" s="38"/>
      <x:c r="N12" s="38"/>
      <x:c r="O12" s="38"/>
      <x:c r="P12" s="42" t="str">
        <x:f>IF(A12="","",IF(A12="跳过","跳过",IF(OR(B12="",C12="",LEN(D12)=0,LEN(E12)=0,F12="",G12="",H12="",I12=""),"缺少必填项",IF(COUNTIF('站点与CPU'!$B$5:$B$64,B12)=0,"站点ID不存在",IF(COUNTIF('硬件模块'!$F$5:$F$124,C12)=0,"模块名称不存在",IF(COUNTIF($G$5:$G$164,G12)&gt;1,"符号名称重复",IF(COUNTIF($H$5:$H$164,H12)&gt;1,"逻辑地址重复","通过")))))))</x:f>
      </x:c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8"/>
      <x:c r="K13" s="38"/>
      <x:c r="L13" s="38"/>
      <x:c r="M13" s="38"/>
      <x:c r="N13" s="38"/>
      <x:c r="O13" s="38"/>
      <x:c r="P13" s="42" t="str">
        <x:f>IF(A13="","",IF(A13="跳过","跳过",IF(OR(B13="",C13="",LEN(D13)=0,LEN(E13)=0,F13="",G13="",H13="",I13=""),"缺少必填项",IF(COUNTIF('站点与CPU'!$B$5:$B$64,B13)=0,"站点ID不存在",IF(COUNTIF('硬件模块'!$F$5:$F$124,C13)=0,"模块名称不存在",IF(COUNTIF($G$5:$G$164,G13)&gt;1,"符号名称重复",IF(COUNTIF($H$5:$H$164,H13)&gt;1,"逻辑地址重复","通过")))))))</x:f>
      </x:c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8"/>
      <x:c r="K14" s="38"/>
      <x:c r="L14" s="38"/>
      <x:c r="M14" s="38"/>
      <x:c r="N14" s="38"/>
      <x:c r="O14" s="38"/>
      <x:c r="P14" s="42" t="str">
        <x:f>IF(A14="","",IF(A14="跳过","跳过",IF(OR(B14="",C14="",LEN(D14)=0,LEN(E14)=0,F14="",G14="",H14="",I14=""),"缺少必填项",IF(COUNTIF('站点与CPU'!$B$5:$B$64,B14)=0,"站点ID不存在",IF(COUNTIF('硬件模块'!$F$5:$F$124,C14)=0,"模块名称不存在",IF(COUNTIF($G$5:$G$164,G14)&gt;1,"符号名称重复",IF(COUNTIF($H$5:$H$164,H14)&gt;1,"逻辑地址重复","通过")))))))</x:f>
      </x:c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8"/>
      <x:c r="K15" s="38"/>
      <x:c r="L15" s="38"/>
      <x:c r="M15" s="38"/>
      <x:c r="N15" s="38"/>
      <x:c r="O15" s="38"/>
      <x:c r="P15" s="42" t="str">
        <x:f>IF(A15="","",IF(A15="跳过","跳过",IF(OR(B15="",C15="",LEN(D15)=0,LEN(E15)=0,F15="",G15="",H15="",I15=""),"缺少必填项",IF(COUNTIF('站点与CPU'!$B$5:$B$64,B15)=0,"站点ID不存在",IF(COUNTIF('硬件模块'!$F$5:$F$124,C15)=0,"模块名称不存在",IF(COUNTIF($G$5:$G$164,G15)&gt;1,"符号名称重复",IF(COUNTIF($H$5:$H$164,H15)&gt;1,"逻辑地址重复","通过")))))))</x:f>
      </x:c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8"/>
      <x:c r="K16" s="38"/>
      <x:c r="L16" s="38"/>
      <x:c r="M16" s="38"/>
      <x:c r="N16" s="38"/>
      <x:c r="O16" s="38"/>
      <x:c r="P16" s="42" t="str">
        <x:f>IF(A16="","",IF(A16="跳过","跳过",IF(OR(B16="",C16="",LEN(D16)=0,LEN(E16)=0,F16="",G16="",H16="",I16=""),"缺少必填项",IF(COUNTIF('站点与CPU'!$B$5:$B$64,B16)=0,"站点ID不存在",IF(COUNTIF('硬件模块'!$F$5:$F$124,C16)=0,"模块名称不存在",IF(COUNTIF($G$5:$G$164,G16)&gt;1,"符号名称重复",IF(COUNTIF($H$5:$H$164,H16)&gt;1,"逻辑地址重复","通过")))))))</x:f>
      </x:c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8"/>
      <x:c r="K17" s="38"/>
      <x:c r="L17" s="38"/>
      <x:c r="M17" s="38"/>
      <x:c r="N17" s="38"/>
      <x:c r="O17" s="38"/>
      <x:c r="P17" s="42" t="str">
        <x:f>IF(A17="","",IF(A17="跳过","跳过",IF(OR(B17="",C17="",LEN(D17)=0,LEN(E17)=0,F17="",G17="",H17="",I17=""),"缺少必填项",IF(COUNTIF('站点与CPU'!$B$5:$B$64,B17)=0,"站点ID不存在",IF(COUNTIF('硬件模块'!$F$5:$F$124,C17)=0,"模块名称不存在",IF(COUNTIF($G$5:$G$164,G17)&gt;1,"符号名称重复",IF(COUNTIF($H$5:$H$164,H17)&gt;1,"逻辑地址重复","通过")))))))</x:f>
      </x:c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8"/>
      <x:c r="K18" s="38"/>
      <x:c r="L18" s="38"/>
      <x:c r="M18" s="38"/>
      <x:c r="N18" s="38"/>
      <x:c r="O18" s="38"/>
      <x:c r="P18" s="42" t="str">
        <x:f>IF(A18="","",IF(A18="跳过","跳过",IF(OR(B18="",C18="",LEN(D18)=0,LEN(E18)=0,F18="",G18="",H18="",I18=""),"缺少必填项",IF(COUNTIF('站点与CPU'!$B$5:$B$64,B18)=0,"站点ID不存在",IF(COUNTIF('硬件模块'!$F$5:$F$124,C18)=0,"模块名称不存在",IF(COUNTIF($G$5:$G$164,G18)&gt;1,"符号名称重复",IF(COUNTIF($H$5:$H$164,H18)&gt;1,"逻辑地址重复","通过")))))))</x:f>
      </x:c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8"/>
      <x:c r="K19" s="38"/>
      <x:c r="L19" s="38"/>
      <x:c r="M19" s="38"/>
      <x:c r="N19" s="38"/>
      <x:c r="O19" s="38"/>
      <x:c r="P19" s="42" t="str">
        <x:f>IF(A19="","",IF(A19="跳过","跳过",IF(OR(B19="",C19="",LEN(D19)=0,LEN(E19)=0,F19="",G19="",H19="",I19=""),"缺少必填项",IF(COUNTIF('站点与CPU'!$B$5:$B$64,B19)=0,"站点ID不存在",IF(COUNTIF('硬件模块'!$F$5:$F$124,C19)=0,"模块名称不存在",IF(COUNTIF($G$5:$G$164,G19)&gt;1,"符号名称重复",IF(COUNTIF($H$5:$H$164,H19)&gt;1,"逻辑地址重复","通过")))))))</x:f>
      </x:c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8"/>
      <x:c r="K20" s="38"/>
      <x:c r="L20" s="38"/>
      <x:c r="M20" s="38"/>
      <x:c r="N20" s="38"/>
      <x:c r="O20" s="38"/>
      <x:c r="P20" s="42" t="str">
        <x:f>IF(A20="","",IF(A20="跳过","跳过",IF(OR(B20="",C20="",LEN(D20)=0,LEN(E20)=0,F20="",G20="",H20="",I20=""),"缺少必填项",IF(COUNTIF('站点与CPU'!$B$5:$B$64,B20)=0,"站点ID不存在",IF(COUNTIF('硬件模块'!$F$5:$F$124,C20)=0,"模块名称不存在",IF(COUNTIF($G$5:$G$164,G20)&gt;1,"符号名称重复",IF(COUNTIF($H$5:$H$164,H20)&gt;1,"逻辑地址重复","通过")))))))</x:f>
      </x:c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8"/>
      <x:c r="K21" s="38"/>
      <x:c r="L21" s="38"/>
      <x:c r="M21" s="38"/>
      <x:c r="N21" s="38"/>
      <x:c r="O21" s="38"/>
      <x:c r="P21" s="42" t="str">
        <x:f>IF(A21="","",IF(A21="跳过","跳过",IF(OR(B21="",C21="",LEN(D21)=0,LEN(E21)=0,F21="",G21="",H21="",I21=""),"缺少必填项",IF(COUNTIF('站点与CPU'!$B$5:$B$64,B21)=0,"站点ID不存在",IF(COUNTIF('硬件模块'!$F$5:$F$124,C21)=0,"模块名称不存在",IF(COUNTIF($G$5:$G$164,G21)&gt;1,"符号名称重复",IF(COUNTIF($H$5:$H$164,H21)&gt;1,"逻辑地址重复","通过")))))))</x:f>
      </x:c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8"/>
      <x:c r="K22" s="38"/>
      <x:c r="L22" s="38"/>
      <x:c r="M22" s="38"/>
      <x:c r="N22" s="38"/>
      <x:c r="O22" s="38"/>
      <x:c r="P22" s="42" t="str">
        <x:f>IF(A22="","",IF(A22="跳过","跳过",IF(OR(B22="",C22="",LEN(D22)=0,LEN(E22)=0,F22="",G22="",H22="",I22=""),"缺少必填项",IF(COUNTIF('站点与CPU'!$B$5:$B$64,B22)=0,"站点ID不存在",IF(COUNTIF('硬件模块'!$F$5:$F$124,C22)=0,"模块名称不存在",IF(COUNTIF($G$5:$G$164,G22)&gt;1,"符号名称重复",IF(COUNTIF($H$5:$H$164,H22)&gt;1,"逻辑地址重复","通过")))))))</x:f>
      </x:c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8"/>
      <x:c r="K23" s="38"/>
      <x:c r="L23" s="38"/>
      <x:c r="M23" s="38"/>
      <x:c r="N23" s="38"/>
      <x:c r="O23" s="38"/>
      <x:c r="P23" s="42" t="str">
        <x:f>IF(A23="","",IF(A23="跳过","跳过",IF(OR(B23="",C23="",LEN(D23)=0,LEN(E23)=0,F23="",G23="",H23="",I23=""),"缺少必填项",IF(COUNTIF('站点与CPU'!$B$5:$B$64,B23)=0,"站点ID不存在",IF(COUNTIF('硬件模块'!$F$5:$F$124,C23)=0,"模块名称不存在",IF(COUNTIF($G$5:$G$164,G23)&gt;1,"符号名称重复",IF(COUNTIF($H$5:$H$164,H23)&gt;1,"逻辑地址重复","通过")))))))</x:f>
      </x:c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8"/>
      <x:c r="K24" s="38"/>
      <x:c r="L24" s="38"/>
      <x:c r="M24" s="38"/>
      <x:c r="N24" s="38"/>
      <x:c r="O24" s="38"/>
      <x:c r="P24" s="42" t="str">
        <x:f>IF(A24="","",IF(A24="跳过","跳过",IF(OR(B24="",C24="",LEN(D24)=0,LEN(E24)=0,F24="",G24="",H24="",I24=""),"缺少必填项",IF(COUNTIF('站点与CPU'!$B$5:$B$64,B24)=0,"站点ID不存在",IF(COUNTIF('硬件模块'!$F$5:$F$124,C24)=0,"模块名称不存在",IF(COUNTIF($G$5:$G$164,G24)&gt;1,"符号名称重复",IF(COUNTIF($H$5:$H$164,H24)&gt;1,"逻辑地址重复","通过")))))))</x:f>
      </x:c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8"/>
      <x:c r="K25" s="38"/>
      <x:c r="L25" s="38"/>
      <x:c r="M25" s="38"/>
      <x:c r="N25" s="38"/>
      <x:c r="O25" s="38"/>
      <x:c r="P25" s="42" t="str">
        <x:f>IF(A25="","",IF(A25="跳过","跳过",IF(OR(B25="",C25="",LEN(D25)=0,LEN(E25)=0,F25="",G25="",H25="",I25=""),"缺少必填项",IF(COUNTIF('站点与CPU'!$B$5:$B$64,B25)=0,"站点ID不存在",IF(COUNTIF('硬件模块'!$F$5:$F$124,C25)=0,"模块名称不存在",IF(COUNTIF($G$5:$G$164,G25)&gt;1,"符号名称重复",IF(COUNTIF($H$5:$H$164,H25)&gt;1,"逻辑地址重复","通过")))))))</x:f>
      </x:c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8"/>
      <x:c r="K26" s="38"/>
      <x:c r="L26" s="38"/>
      <x:c r="M26" s="38"/>
      <x:c r="N26" s="38"/>
      <x:c r="O26" s="38"/>
      <x:c r="P26" s="42" t="str">
        <x:f>IF(A26="","",IF(A26="跳过","跳过",IF(OR(B26="",C26="",LEN(D26)=0,LEN(E26)=0,F26="",G26="",H26="",I26=""),"缺少必填项",IF(COUNTIF('站点与CPU'!$B$5:$B$64,B26)=0,"站点ID不存在",IF(COUNTIF('硬件模块'!$F$5:$F$124,C26)=0,"模块名称不存在",IF(COUNTIF($G$5:$G$164,G26)&gt;1,"符号名称重复",IF(COUNTIF($H$5:$H$164,H26)&gt;1,"逻辑地址重复","通过")))))))</x:f>
      </x:c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8"/>
      <x:c r="K27" s="38"/>
      <x:c r="L27" s="38"/>
      <x:c r="M27" s="38"/>
      <x:c r="N27" s="38"/>
      <x:c r="O27" s="38"/>
      <x:c r="P27" s="42" t="str">
        <x:f>IF(A27="","",IF(A27="跳过","跳过",IF(OR(B27="",C27="",LEN(D27)=0,LEN(E27)=0,F27="",G27="",H27="",I27=""),"缺少必填项",IF(COUNTIF('站点与CPU'!$B$5:$B$64,B27)=0,"站点ID不存在",IF(COUNTIF('硬件模块'!$F$5:$F$124,C27)=0,"模块名称不存在",IF(COUNTIF($G$5:$G$164,G27)&gt;1,"符号名称重复",IF(COUNTIF($H$5:$H$164,H27)&gt;1,"逻辑地址重复","通过")))))))</x:f>
      </x:c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8"/>
      <x:c r="K28" s="38"/>
      <x:c r="L28" s="38"/>
      <x:c r="M28" s="38"/>
      <x:c r="N28" s="38"/>
      <x:c r="O28" s="38"/>
      <x:c r="P28" s="42" t="str">
        <x:f>IF(A28="","",IF(A28="跳过","跳过",IF(OR(B28="",C28="",LEN(D28)=0,LEN(E28)=0,F28="",G28="",H28="",I28=""),"缺少必填项",IF(COUNTIF('站点与CPU'!$B$5:$B$64,B28)=0,"站点ID不存在",IF(COUNTIF('硬件模块'!$F$5:$F$124,C28)=0,"模块名称不存在",IF(COUNTIF($G$5:$G$164,G28)&gt;1,"符号名称重复",IF(COUNTIF($H$5:$H$164,H28)&gt;1,"逻辑地址重复","通过")))))))</x:f>
      </x:c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8"/>
      <x:c r="K29" s="38"/>
      <x:c r="L29" s="38"/>
      <x:c r="M29" s="38"/>
      <x:c r="N29" s="38"/>
      <x:c r="O29" s="38"/>
      <x:c r="P29" s="42" t="str">
        <x:f>IF(A29="","",IF(A29="跳过","跳过",IF(OR(B29="",C29="",LEN(D29)=0,LEN(E29)=0,F29="",G29="",H29="",I29=""),"缺少必填项",IF(COUNTIF('站点与CPU'!$B$5:$B$64,B29)=0,"站点ID不存在",IF(COUNTIF('硬件模块'!$F$5:$F$124,C29)=0,"模块名称不存在",IF(COUNTIF($G$5:$G$164,G29)&gt;1,"符号名称重复",IF(COUNTIF($H$5:$H$164,H29)&gt;1,"逻辑地址重复","通过")))))))</x:f>
      </x:c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8"/>
      <x:c r="K30" s="38"/>
      <x:c r="L30" s="38"/>
      <x:c r="M30" s="38"/>
      <x:c r="N30" s="38"/>
      <x:c r="O30" s="38"/>
      <x:c r="P30" s="42" t="str">
        <x:f>IF(A30="","",IF(A30="跳过","跳过",IF(OR(B30="",C30="",LEN(D30)=0,LEN(E30)=0,F30="",G30="",H30="",I30=""),"缺少必填项",IF(COUNTIF('站点与CPU'!$B$5:$B$64,B30)=0,"站点ID不存在",IF(COUNTIF('硬件模块'!$F$5:$F$124,C30)=0,"模块名称不存在",IF(COUNTIF($G$5:$G$164,G30)&gt;1,"符号名称重复",IF(COUNTIF($H$5:$H$164,H30)&gt;1,"逻辑地址重复","通过")))))))</x:f>
      </x:c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8"/>
      <x:c r="K31" s="38"/>
      <x:c r="L31" s="38"/>
      <x:c r="M31" s="38"/>
      <x:c r="N31" s="38"/>
      <x:c r="O31" s="38"/>
      <x:c r="P31" s="42" t="str">
        <x:f>IF(A31="","",IF(A31="跳过","跳过",IF(OR(B31="",C31="",LEN(D31)=0,LEN(E31)=0,F31="",G31="",H31="",I31=""),"缺少必填项",IF(COUNTIF('站点与CPU'!$B$5:$B$64,B31)=0,"站点ID不存在",IF(COUNTIF('硬件模块'!$F$5:$F$124,C31)=0,"模块名称不存在",IF(COUNTIF($G$5:$G$164,G31)&gt;1,"符号名称重复",IF(COUNTIF($H$5:$H$164,H31)&gt;1,"逻辑地址重复","通过")))))))</x:f>
      </x:c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8"/>
      <x:c r="K32" s="38"/>
      <x:c r="L32" s="38"/>
      <x:c r="M32" s="38"/>
      <x:c r="N32" s="38"/>
      <x:c r="O32" s="38"/>
      <x:c r="P32" s="42" t="str">
        <x:f>IF(A32="","",IF(A32="跳过","跳过",IF(OR(B32="",C32="",LEN(D32)=0,LEN(E32)=0,F32="",G32="",H32="",I32=""),"缺少必填项",IF(COUNTIF('站点与CPU'!$B$5:$B$64,B32)=0,"站点ID不存在",IF(COUNTIF('硬件模块'!$F$5:$F$124,C32)=0,"模块名称不存在",IF(COUNTIF($G$5:$G$164,G32)&gt;1,"符号名称重复",IF(COUNTIF($H$5:$H$164,H32)&gt;1,"逻辑地址重复","通过")))))))</x:f>
      </x:c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8"/>
      <x:c r="K33" s="38"/>
      <x:c r="L33" s="38"/>
      <x:c r="M33" s="38"/>
      <x:c r="N33" s="38"/>
      <x:c r="O33" s="38"/>
      <x:c r="P33" s="42" t="str">
        <x:f>IF(A33="","",IF(A33="跳过","跳过",IF(OR(B33="",C33="",LEN(D33)=0,LEN(E33)=0,F33="",G33="",H33="",I33=""),"缺少必填项",IF(COUNTIF('站点与CPU'!$B$5:$B$64,B33)=0,"站点ID不存在",IF(COUNTIF('硬件模块'!$F$5:$F$124,C33)=0,"模块名称不存在",IF(COUNTIF($G$5:$G$164,G33)&gt;1,"符号名称重复",IF(COUNTIF($H$5:$H$164,H33)&gt;1,"逻辑地址重复","通过")))))))</x:f>
      </x:c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8"/>
      <x:c r="K34" s="38"/>
      <x:c r="L34" s="38"/>
      <x:c r="M34" s="38"/>
      <x:c r="N34" s="38"/>
      <x:c r="O34" s="38"/>
      <x:c r="P34" s="42" t="str">
        <x:f>IF(A34="","",IF(A34="跳过","跳过",IF(OR(B34="",C34="",LEN(D34)=0,LEN(E34)=0,F34="",G34="",H34="",I34=""),"缺少必填项",IF(COUNTIF('站点与CPU'!$B$5:$B$64,B34)=0,"站点ID不存在",IF(COUNTIF('硬件模块'!$F$5:$F$124,C34)=0,"模块名称不存在",IF(COUNTIF($G$5:$G$164,G34)&gt;1,"符号名称重复",IF(COUNTIF($H$5:$H$164,H34)&gt;1,"逻辑地址重复","通过")))))))</x:f>
      </x:c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8"/>
      <x:c r="K35" s="38"/>
      <x:c r="L35" s="38"/>
      <x:c r="M35" s="38"/>
      <x:c r="N35" s="38"/>
      <x:c r="O35" s="38"/>
      <x:c r="P35" s="42" t="str">
        <x:f>IF(A35="","",IF(A35="跳过","跳过",IF(OR(B35="",C35="",LEN(D35)=0,LEN(E35)=0,F35="",G35="",H35="",I35=""),"缺少必填项",IF(COUNTIF('站点与CPU'!$B$5:$B$64,B35)=0,"站点ID不存在",IF(COUNTIF('硬件模块'!$F$5:$F$124,C35)=0,"模块名称不存在",IF(COUNTIF($G$5:$G$164,G35)&gt;1,"符号名称重复",IF(COUNTIF($H$5:$H$164,H35)&gt;1,"逻辑地址重复","通过")))))))</x:f>
      </x:c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8"/>
      <x:c r="K36" s="38"/>
      <x:c r="L36" s="38"/>
      <x:c r="M36" s="38"/>
      <x:c r="N36" s="38"/>
      <x:c r="O36" s="38"/>
      <x:c r="P36" s="42" t="str">
        <x:f>IF(A36="","",IF(A36="跳过","跳过",IF(OR(B36="",C36="",LEN(D36)=0,LEN(E36)=0,F36="",G36="",H36="",I36=""),"缺少必填项",IF(COUNTIF('站点与CPU'!$B$5:$B$64,B36)=0,"站点ID不存在",IF(COUNTIF('硬件模块'!$F$5:$F$124,C36)=0,"模块名称不存在",IF(COUNTIF($G$5:$G$164,G36)&gt;1,"符号名称重复",IF(COUNTIF($H$5:$H$164,H36)&gt;1,"逻辑地址重复","通过")))))))</x:f>
      </x:c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8"/>
      <x:c r="K37" s="38"/>
      <x:c r="L37" s="38"/>
      <x:c r="M37" s="38"/>
      <x:c r="N37" s="38"/>
      <x:c r="O37" s="38"/>
      <x:c r="P37" s="42" t="str">
        <x:f>IF(A37="","",IF(A37="跳过","跳过",IF(OR(B37="",C37="",LEN(D37)=0,LEN(E37)=0,F37="",G37="",H37="",I37=""),"缺少必填项",IF(COUNTIF('站点与CPU'!$B$5:$B$64,B37)=0,"站点ID不存在",IF(COUNTIF('硬件模块'!$F$5:$F$124,C37)=0,"模块名称不存在",IF(COUNTIF($G$5:$G$164,G37)&gt;1,"符号名称重复",IF(COUNTIF($H$5:$H$164,H37)&gt;1,"逻辑地址重复","通过")))))))</x:f>
      </x:c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8"/>
      <x:c r="K38" s="38"/>
      <x:c r="L38" s="38"/>
      <x:c r="M38" s="38"/>
      <x:c r="N38" s="38"/>
      <x:c r="O38" s="38"/>
      <x:c r="P38" s="42" t="str">
        <x:f>IF(A38="","",IF(A38="跳过","跳过",IF(OR(B38="",C38="",LEN(D38)=0,LEN(E38)=0,F38="",G38="",H38="",I38=""),"缺少必填项",IF(COUNTIF('站点与CPU'!$B$5:$B$64,B38)=0,"站点ID不存在",IF(COUNTIF('硬件模块'!$F$5:$F$124,C38)=0,"模块名称不存在",IF(COUNTIF($G$5:$G$164,G38)&gt;1,"符号名称重复",IF(COUNTIF($H$5:$H$164,H38)&gt;1,"逻辑地址重复","通过")))))))</x:f>
      </x:c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8"/>
      <x:c r="K39" s="38"/>
      <x:c r="L39" s="38"/>
      <x:c r="M39" s="38"/>
      <x:c r="N39" s="38"/>
      <x:c r="O39" s="38"/>
      <x:c r="P39" s="42" t="str">
        <x:f>IF(A39="","",IF(A39="跳过","跳过",IF(OR(B39="",C39="",LEN(D39)=0,LEN(E39)=0,F39="",G39="",H39="",I39=""),"缺少必填项",IF(COUNTIF('站点与CPU'!$B$5:$B$64,B39)=0,"站点ID不存在",IF(COUNTIF('硬件模块'!$F$5:$F$124,C39)=0,"模块名称不存在",IF(COUNTIF($G$5:$G$164,G39)&gt;1,"符号名称重复",IF(COUNTIF($H$5:$H$164,H39)&gt;1,"逻辑地址重复","通过")))))))</x:f>
      </x:c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8"/>
      <x:c r="K40" s="38"/>
      <x:c r="L40" s="38"/>
      <x:c r="M40" s="38"/>
      <x:c r="N40" s="38"/>
      <x:c r="O40" s="38"/>
      <x:c r="P40" s="42" t="str">
        <x:f>IF(A40="","",IF(A40="跳过","跳过",IF(OR(B40="",C40="",LEN(D40)=0,LEN(E40)=0,F40="",G40="",H40="",I40=""),"缺少必填项",IF(COUNTIF('站点与CPU'!$B$5:$B$64,B40)=0,"站点ID不存在",IF(COUNTIF('硬件模块'!$F$5:$F$124,C40)=0,"模块名称不存在",IF(COUNTIF($G$5:$G$164,G40)&gt;1,"符号名称重复",IF(COUNTIF($H$5:$H$164,H40)&gt;1,"逻辑地址重复","通过")))))))</x:f>
      </x:c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8"/>
      <x:c r="K41" s="38"/>
      <x:c r="L41" s="38"/>
      <x:c r="M41" s="38"/>
      <x:c r="N41" s="38"/>
      <x:c r="O41" s="38"/>
      <x:c r="P41" s="42" t="str">
        <x:f>IF(A41="","",IF(A41="跳过","跳过",IF(OR(B41="",C41="",LEN(D41)=0,LEN(E41)=0,F41="",G41="",H41="",I41=""),"缺少必填项",IF(COUNTIF('站点与CPU'!$B$5:$B$64,B41)=0,"站点ID不存在",IF(COUNTIF('硬件模块'!$F$5:$F$124,C41)=0,"模块名称不存在",IF(COUNTIF($G$5:$G$164,G41)&gt;1,"符号名称重复",IF(COUNTIF($H$5:$H$164,H41)&gt;1,"逻辑地址重复","通过")))))))</x:f>
      </x:c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8"/>
      <x:c r="K42" s="38"/>
      <x:c r="L42" s="38"/>
      <x:c r="M42" s="38"/>
      <x:c r="N42" s="38"/>
      <x:c r="O42" s="38"/>
      <x:c r="P42" s="42" t="str">
        <x:f>IF(A42="","",IF(A42="跳过","跳过",IF(OR(B42="",C42="",LEN(D42)=0,LEN(E42)=0,F42="",G42="",H42="",I42=""),"缺少必填项",IF(COUNTIF('站点与CPU'!$B$5:$B$64,B42)=0,"站点ID不存在",IF(COUNTIF('硬件模块'!$F$5:$F$124,C42)=0,"模块名称不存在",IF(COUNTIF($G$5:$G$164,G42)&gt;1,"符号名称重复",IF(COUNTIF($H$5:$H$164,H42)&gt;1,"逻辑地址重复","通过")))))))</x:f>
      </x:c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8"/>
      <x:c r="K43" s="38"/>
      <x:c r="L43" s="38"/>
      <x:c r="M43" s="38"/>
      <x:c r="N43" s="38"/>
      <x:c r="O43" s="38"/>
      <x:c r="P43" s="42" t="str">
        <x:f>IF(A43="","",IF(A43="跳过","跳过",IF(OR(B43="",C43="",LEN(D43)=0,LEN(E43)=0,F43="",G43="",H43="",I43=""),"缺少必填项",IF(COUNTIF('站点与CPU'!$B$5:$B$64,B43)=0,"站点ID不存在",IF(COUNTIF('硬件模块'!$F$5:$F$124,C43)=0,"模块名称不存在",IF(COUNTIF($G$5:$G$164,G43)&gt;1,"符号名称重复",IF(COUNTIF($H$5:$H$164,H43)&gt;1,"逻辑地址重复","通过")))))))</x:f>
      </x:c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8"/>
      <x:c r="K44" s="38"/>
      <x:c r="L44" s="38"/>
      <x:c r="M44" s="38"/>
      <x:c r="N44" s="38"/>
      <x:c r="O44" s="38"/>
      <x:c r="P44" s="42" t="str">
        <x:f>IF(A44="","",IF(A44="跳过","跳过",IF(OR(B44="",C44="",LEN(D44)=0,LEN(E44)=0,F44="",G44="",H44="",I44=""),"缺少必填项",IF(COUNTIF('站点与CPU'!$B$5:$B$64,B44)=0,"站点ID不存在",IF(COUNTIF('硬件模块'!$F$5:$F$124,C44)=0,"模块名称不存在",IF(COUNTIF($G$5:$G$164,G44)&gt;1,"符号名称重复",IF(COUNTIF($H$5:$H$164,H44)&gt;1,"逻辑地址重复","通过")))))))</x:f>
      </x:c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8"/>
      <x:c r="K45" s="38"/>
      <x:c r="L45" s="38"/>
      <x:c r="M45" s="38"/>
      <x:c r="N45" s="38"/>
      <x:c r="O45" s="38"/>
      <x:c r="P45" s="42" t="str">
        <x:f>IF(A45="","",IF(A45="跳过","跳过",IF(OR(B45="",C45="",LEN(D45)=0,LEN(E45)=0,F45="",G45="",H45="",I45=""),"缺少必填项",IF(COUNTIF('站点与CPU'!$B$5:$B$64,B45)=0,"站点ID不存在",IF(COUNTIF('硬件模块'!$F$5:$F$124,C45)=0,"模块名称不存在",IF(COUNTIF($G$5:$G$164,G45)&gt;1,"符号名称重复",IF(COUNTIF($H$5:$H$164,H45)&gt;1,"逻辑地址重复","通过")))))))</x:f>
      </x:c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8"/>
      <x:c r="K46" s="38"/>
      <x:c r="L46" s="38"/>
      <x:c r="M46" s="38"/>
      <x:c r="N46" s="38"/>
      <x:c r="O46" s="38"/>
      <x:c r="P46" s="42" t="str">
        <x:f>IF(A46="","",IF(A46="跳过","跳过",IF(OR(B46="",C46="",LEN(D46)=0,LEN(E46)=0,F46="",G46="",H46="",I46=""),"缺少必填项",IF(COUNTIF('站点与CPU'!$B$5:$B$64,B46)=0,"站点ID不存在",IF(COUNTIF('硬件模块'!$F$5:$F$124,C46)=0,"模块名称不存在",IF(COUNTIF($G$5:$G$164,G46)&gt;1,"符号名称重复",IF(COUNTIF($H$5:$H$164,H46)&gt;1,"逻辑地址重复","通过")))))))</x:f>
      </x:c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8"/>
      <x:c r="K47" s="38"/>
      <x:c r="L47" s="38"/>
      <x:c r="M47" s="38"/>
      <x:c r="N47" s="38"/>
      <x:c r="O47" s="38"/>
      <x:c r="P47" s="42" t="str">
        <x:f>IF(A47="","",IF(A47="跳过","跳过",IF(OR(B47="",C47="",LEN(D47)=0,LEN(E47)=0,F47="",G47="",H47="",I47=""),"缺少必填项",IF(COUNTIF('站点与CPU'!$B$5:$B$64,B47)=0,"站点ID不存在",IF(COUNTIF('硬件模块'!$F$5:$F$124,C47)=0,"模块名称不存在",IF(COUNTIF($G$5:$G$164,G47)&gt;1,"符号名称重复",IF(COUNTIF($H$5:$H$164,H47)&gt;1,"逻辑地址重复","通过")))))))</x:f>
      </x:c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8"/>
      <x:c r="K48" s="38"/>
      <x:c r="L48" s="38"/>
      <x:c r="M48" s="38"/>
      <x:c r="N48" s="38"/>
      <x:c r="O48" s="38"/>
      <x:c r="P48" s="42" t="str">
        <x:f>IF(A48="","",IF(A48="跳过","跳过",IF(OR(B48="",C48="",LEN(D48)=0,LEN(E48)=0,F48="",G48="",H48="",I48=""),"缺少必填项",IF(COUNTIF('站点与CPU'!$B$5:$B$64,B48)=0,"站点ID不存在",IF(COUNTIF('硬件模块'!$F$5:$F$124,C48)=0,"模块名称不存在",IF(COUNTIF($G$5:$G$164,G48)&gt;1,"符号名称重复",IF(COUNTIF($H$5:$H$164,H48)&gt;1,"逻辑地址重复","通过")))))))</x:f>
      </x:c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8"/>
      <x:c r="K49" s="38"/>
      <x:c r="L49" s="38"/>
      <x:c r="M49" s="38"/>
      <x:c r="N49" s="38"/>
      <x:c r="O49" s="38"/>
      <x:c r="P49" s="42" t="str">
        <x:f>IF(A49="","",IF(A49="跳过","跳过",IF(OR(B49="",C49="",LEN(D49)=0,LEN(E49)=0,F49="",G49="",H49="",I49=""),"缺少必填项",IF(COUNTIF('站点与CPU'!$B$5:$B$64,B49)=0,"站点ID不存在",IF(COUNTIF('硬件模块'!$F$5:$F$124,C49)=0,"模块名称不存在",IF(COUNTIF($G$5:$G$164,G49)&gt;1,"符号名称重复",IF(COUNTIF($H$5:$H$164,H49)&gt;1,"逻辑地址重复","通过")))))))</x:f>
      </x:c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8"/>
      <x:c r="K50" s="38"/>
      <x:c r="L50" s="38"/>
      <x:c r="M50" s="38"/>
      <x:c r="N50" s="38"/>
      <x:c r="O50" s="38"/>
      <x:c r="P50" s="42" t="str">
        <x:f>IF(A50="","",IF(A50="跳过","跳过",IF(OR(B50="",C50="",LEN(D50)=0,LEN(E50)=0,F50="",G50="",H50="",I50=""),"缺少必填项",IF(COUNTIF('站点与CPU'!$B$5:$B$64,B50)=0,"站点ID不存在",IF(COUNTIF('硬件模块'!$F$5:$F$124,C50)=0,"模块名称不存在",IF(COUNTIF($G$5:$G$164,G50)&gt;1,"符号名称重复",IF(COUNTIF($H$5:$H$164,H50)&gt;1,"逻辑地址重复","通过")))))))</x:f>
      </x:c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8"/>
      <x:c r="K51" s="38"/>
      <x:c r="L51" s="38"/>
      <x:c r="M51" s="38"/>
      <x:c r="N51" s="38"/>
      <x:c r="O51" s="38"/>
      <x:c r="P51" s="42" t="str">
        <x:f>IF(A51="","",IF(A51="跳过","跳过",IF(OR(B51="",C51="",LEN(D51)=0,LEN(E51)=0,F51="",G51="",H51="",I51=""),"缺少必填项",IF(COUNTIF('站点与CPU'!$B$5:$B$64,B51)=0,"站点ID不存在",IF(COUNTIF('硬件模块'!$F$5:$F$124,C51)=0,"模块名称不存在",IF(COUNTIF($G$5:$G$164,G51)&gt;1,"符号名称重复",IF(COUNTIF($H$5:$H$164,H51)&gt;1,"逻辑地址重复","通过")))))))</x:f>
      </x:c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8"/>
      <x:c r="K52" s="38"/>
      <x:c r="L52" s="38"/>
      <x:c r="M52" s="38"/>
      <x:c r="N52" s="38"/>
      <x:c r="O52" s="38"/>
      <x:c r="P52" s="42" t="str">
        <x:f>IF(A52="","",IF(A52="跳过","跳过",IF(OR(B52="",C52="",LEN(D52)=0,LEN(E52)=0,F52="",G52="",H52="",I52=""),"缺少必填项",IF(COUNTIF('站点与CPU'!$B$5:$B$64,B52)=0,"站点ID不存在",IF(COUNTIF('硬件模块'!$F$5:$F$124,C52)=0,"模块名称不存在",IF(COUNTIF($G$5:$G$164,G52)&gt;1,"符号名称重复",IF(COUNTIF($H$5:$H$164,H52)&gt;1,"逻辑地址重复","通过")))))))</x:f>
      </x:c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8"/>
      <x:c r="K53" s="38"/>
      <x:c r="L53" s="38"/>
      <x:c r="M53" s="38"/>
      <x:c r="N53" s="38"/>
      <x:c r="O53" s="38"/>
      <x:c r="P53" s="42" t="str">
        <x:f>IF(A53="","",IF(A53="跳过","跳过",IF(OR(B53="",C53="",LEN(D53)=0,LEN(E53)=0,F53="",G53="",H53="",I53=""),"缺少必填项",IF(COUNTIF('站点与CPU'!$B$5:$B$64,B53)=0,"站点ID不存在",IF(COUNTIF('硬件模块'!$F$5:$F$124,C53)=0,"模块名称不存在",IF(COUNTIF($G$5:$G$164,G53)&gt;1,"符号名称重复",IF(COUNTIF($H$5:$H$164,H53)&gt;1,"逻辑地址重复","通过")))))))</x:f>
      </x:c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8"/>
      <x:c r="K54" s="38"/>
      <x:c r="L54" s="38"/>
      <x:c r="M54" s="38"/>
      <x:c r="N54" s="38"/>
      <x:c r="O54" s="38"/>
      <x:c r="P54" s="42" t="str">
        <x:f>IF(A54="","",IF(A54="跳过","跳过",IF(OR(B54="",C54="",LEN(D54)=0,LEN(E54)=0,F54="",G54="",H54="",I54=""),"缺少必填项",IF(COUNTIF('站点与CPU'!$B$5:$B$64,B54)=0,"站点ID不存在",IF(COUNTIF('硬件模块'!$F$5:$F$124,C54)=0,"模块名称不存在",IF(COUNTIF($G$5:$G$164,G54)&gt;1,"符号名称重复",IF(COUNTIF($H$5:$H$164,H54)&gt;1,"逻辑地址重复","通过")))))))</x:f>
      </x:c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8"/>
      <x:c r="K55" s="38"/>
      <x:c r="L55" s="38"/>
      <x:c r="M55" s="38"/>
      <x:c r="N55" s="38"/>
      <x:c r="O55" s="38"/>
      <x:c r="P55" s="42" t="str">
        <x:f>IF(A55="","",IF(A55="跳过","跳过",IF(OR(B55="",C55="",LEN(D55)=0,LEN(E55)=0,F55="",G55="",H55="",I55=""),"缺少必填项",IF(COUNTIF('站点与CPU'!$B$5:$B$64,B55)=0,"站点ID不存在",IF(COUNTIF('硬件模块'!$F$5:$F$124,C55)=0,"模块名称不存在",IF(COUNTIF($G$5:$G$164,G55)&gt;1,"符号名称重复",IF(COUNTIF($H$5:$H$164,H55)&gt;1,"逻辑地址重复","通过")))))))</x:f>
      </x:c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8"/>
      <x:c r="K56" s="38"/>
      <x:c r="L56" s="38"/>
      <x:c r="M56" s="38"/>
      <x:c r="N56" s="38"/>
      <x:c r="O56" s="38"/>
      <x:c r="P56" s="42" t="str">
        <x:f>IF(A56="","",IF(A56="跳过","跳过",IF(OR(B56="",C56="",LEN(D56)=0,LEN(E56)=0,F56="",G56="",H56="",I56=""),"缺少必填项",IF(COUNTIF('站点与CPU'!$B$5:$B$64,B56)=0,"站点ID不存在",IF(COUNTIF('硬件模块'!$F$5:$F$124,C56)=0,"模块名称不存在",IF(COUNTIF($G$5:$G$164,G56)&gt;1,"符号名称重复",IF(COUNTIF($H$5:$H$164,H56)&gt;1,"逻辑地址重复","通过")))))))</x:f>
      </x:c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8"/>
      <x:c r="K57" s="38"/>
      <x:c r="L57" s="38"/>
      <x:c r="M57" s="38"/>
      <x:c r="N57" s="38"/>
      <x:c r="O57" s="38"/>
      <x:c r="P57" s="42" t="str">
        <x:f>IF(A57="","",IF(A57="跳过","跳过",IF(OR(B57="",C57="",LEN(D57)=0,LEN(E57)=0,F57="",G57="",H57="",I57=""),"缺少必填项",IF(COUNTIF('站点与CPU'!$B$5:$B$64,B57)=0,"站点ID不存在",IF(COUNTIF('硬件模块'!$F$5:$F$124,C57)=0,"模块名称不存在",IF(COUNTIF($G$5:$G$164,G57)&gt;1,"符号名称重复",IF(COUNTIF($H$5:$H$164,H57)&gt;1,"逻辑地址重复","通过")))))))</x:f>
      </x:c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8"/>
      <x:c r="K58" s="38"/>
      <x:c r="L58" s="38"/>
      <x:c r="M58" s="38"/>
      <x:c r="N58" s="38"/>
      <x:c r="O58" s="38"/>
      <x:c r="P58" s="42" t="str">
        <x:f>IF(A58="","",IF(A58="跳过","跳过",IF(OR(B58="",C58="",LEN(D58)=0,LEN(E58)=0,F58="",G58="",H58="",I58=""),"缺少必填项",IF(COUNTIF('站点与CPU'!$B$5:$B$64,B58)=0,"站点ID不存在",IF(COUNTIF('硬件模块'!$F$5:$F$124,C58)=0,"模块名称不存在",IF(COUNTIF($G$5:$G$164,G58)&gt;1,"符号名称重复",IF(COUNTIF($H$5:$H$164,H58)&gt;1,"逻辑地址重复","通过")))))))</x:f>
      </x:c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8"/>
      <x:c r="K59" s="38"/>
      <x:c r="L59" s="38"/>
      <x:c r="M59" s="38"/>
      <x:c r="N59" s="38"/>
      <x:c r="O59" s="38"/>
      <x:c r="P59" s="42" t="str">
        <x:f>IF(A59="","",IF(A59="跳过","跳过",IF(OR(B59="",C59="",LEN(D59)=0,LEN(E59)=0,F59="",G59="",H59="",I59=""),"缺少必填项",IF(COUNTIF('站点与CPU'!$B$5:$B$64,B59)=0,"站点ID不存在",IF(COUNTIF('硬件模块'!$F$5:$F$124,C59)=0,"模块名称不存在",IF(COUNTIF($G$5:$G$164,G59)&gt;1,"符号名称重复",IF(COUNTIF($H$5:$H$164,H59)&gt;1,"逻辑地址重复","通过")))))))</x:f>
      </x:c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8"/>
      <x:c r="K60" s="38"/>
      <x:c r="L60" s="38"/>
      <x:c r="M60" s="38"/>
      <x:c r="N60" s="38"/>
      <x:c r="O60" s="38"/>
      <x:c r="P60" s="42" t="str">
        <x:f>IF(A60="","",IF(A60="跳过","跳过",IF(OR(B60="",C60="",LEN(D60)=0,LEN(E60)=0,F60="",G60="",H60="",I60=""),"缺少必填项",IF(COUNTIF('站点与CPU'!$B$5:$B$64,B60)=0,"站点ID不存在",IF(COUNTIF('硬件模块'!$F$5:$F$124,C60)=0,"模块名称不存在",IF(COUNTIF($G$5:$G$164,G60)&gt;1,"符号名称重复",IF(COUNTIF($H$5:$H$164,H60)&gt;1,"逻辑地址重复","通过")))))))</x:f>
      </x:c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8"/>
      <x:c r="K61" s="38"/>
      <x:c r="L61" s="38"/>
      <x:c r="M61" s="38"/>
      <x:c r="N61" s="38"/>
      <x:c r="O61" s="38"/>
      <x:c r="P61" s="42" t="str">
        <x:f>IF(A61="","",IF(A61="跳过","跳过",IF(OR(B61="",C61="",LEN(D61)=0,LEN(E61)=0,F61="",G61="",H61="",I61=""),"缺少必填项",IF(COUNTIF('站点与CPU'!$B$5:$B$64,B61)=0,"站点ID不存在",IF(COUNTIF('硬件模块'!$F$5:$F$124,C61)=0,"模块名称不存在",IF(COUNTIF($G$5:$G$164,G61)&gt;1,"符号名称重复",IF(COUNTIF($H$5:$H$164,H61)&gt;1,"逻辑地址重复","通过")))))))</x:f>
      </x:c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8"/>
      <x:c r="K62" s="38"/>
      <x:c r="L62" s="38"/>
      <x:c r="M62" s="38"/>
      <x:c r="N62" s="38"/>
      <x:c r="O62" s="38"/>
      <x:c r="P62" s="42" t="str">
        <x:f>IF(A62="","",IF(A62="跳过","跳过",IF(OR(B62="",C62="",LEN(D62)=0,LEN(E62)=0,F62="",G62="",H62="",I62=""),"缺少必填项",IF(COUNTIF('站点与CPU'!$B$5:$B$64,B62)=0,"站点ID不存在",IF(COUNTIF('硬件模块'!$F$5:$F$124,C62)=0,"模块名称不存在",IF(COUNTIF($G$5:$G$164,G62)&gt;1,"符号名称重复",IF(COUNTIF($H$5:$H$164,H62)&gt;1,"逻辑地址重复","通过")))))))</x:f>
      </x:c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8"/>
      <x:c r="K63" s="38"/>
      <x:c r="L63" s="38"/>
      <x:c r="M63" s="38"/>
      <x:c r="N63" s="38"/>
      <x:c r="O63" s="38"/>
      <x:c r="P63" s="42" t="str">
        <x:f>IF(A63="","",IF(A63="跳过","跳过",IF(OR(B63="",C63="",LEN(D63)=0,LEN(E63)=0,F63="",G63="",H63="",I63=""),"缺少必填项",IF(COUNTIF('站点与CPU'!$B$5:$B$64,B63)=0,"站点ID不存在",IF(COUNTIF('硬件模块'!$F$5:$F$124,C63)=0,"模块名称不存在",IF(COUNTIF($G$5:$G$164,G63)&gt;1,"符号名称重复",IF(COUNTIF($H$5:$H$164,H63)&gt;1,"逻辑地址重复","通过")))))))</x:f>
      </x:c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8"/>
      <x:c r="K64" s="38"/>
      <x:c r="L64" s="38"/>
      <x:c r="M64" s="38"/>
      <x:c r="N64" s="38"/>
      <x:c r="O64" s="38"/>
      <x:c r="P64" s="42" t="str">
        <x:f>IF(A64="","",IF(A64="跳过","跳过",IF(OR(B64="",C64="",LEN(D64)=0,LEN(E64)=0,F64="",G64="",H64="",I64=""),"缺少必填项",IF(COUNTIF('站点与CPU'!$B$5:$B$64,B64)=0,"站点ID不存在",IF(COUNTIF('硬件模块'!$F$5:$F$124,C64)=0,"模块名称不存在",IF(COUNTIF($G$5:$G$164,G64)&gt;1,"符号名称重复",IF(COUNTIF($H$5:$H$164,H64)&gt;1,"逻辑地址重复","通过")))))))</x:f>
      </x:c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8"/>
      <x:c r="K65" s="38"/>
      <x:c r="L65" s="38"/>
      <x:c r="M65" s="38"/>
      <x:c r="N65" s="38"/>
      <x:c r="O65" s="38"/>
      <x:c r="P65" s="42" t="str">
        <x:f>IF(A65="","",IF(A65="跳过","跳过",IF(OR(B65="",C65="",LEN(D65)=0,LEN(E65)=0,F65="",G65="",H65="",I65=""),"缺少必填项",IF(COUNTIF('站点与CPU'!$B$5:$B$64,B65)=0,"站点ID不存在",IF(COUNTIF('硬件模块'!$F$5:$F$124,C65)=0,"模块名称不存在",IF(COUNTIF($G$5:$G$164,G65)&gt;1,"符号名称重复",IF(COUNTIF($H$5:$H$164,H65)&gt;1,"逻辑地址重复","通过")))))))</x:f>
      </x:c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8"/>
      <x:c r="K66" s="38"/>
      <x:c r="L66" s="38"/>
      <x:c r="M66" s="38"/>
      <x:c r="N66" s="38"/>
      <x:c r="O66" s="38"/>
      <x:c r="P66" s="42" t="str">
        <x:f>IF(A66="","",IF(A66="跳过","跳过",IF(OR(B66="",C66="",LEN(D66)=0,LEN(E66)=0,F66="",G66="",H66="",I66=""),"缺少必填项",IF(COUNTIF('站点与CPU'!$B$5:$B$64,B66)=0,"站点ID不存在",IF(COUNTIF('硬件模块'!$F$5:$F$124,C66)=0,"模块名称不存在",IF(COUNTIF($G$5:$G$164,G66)&gt;1,"符号名称重复",IF(COUNTIF($H$5:$H$164,H66)&gt;1,"逻辑地址重复","通过")))))))</x:f>
      </x:c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8"/>
      <x:c r="K67" s="38"/>
      <x:c r="L67" s="38"/>
      <x:c r="M67" s="38"/>
      <x:c r="N67" s="38"/>
      <x:c r="O67" s="38"/>
      <x:c r="P67" s="42" t="str">
        <x:f>IF(A67="","",IF(A67="跳过","跳过",IF(OR(B67="",C67="",LEN(D67)=0,LEN(E67)=0,F67="",G67="",H67="",I67=""),"缺少必填项",IF(COUNTIF('站点与CPU'!$B$5:$B$64,B67)=0,"站点ID不存在",IF(COUNTIF('硬件模块'!$F$5:$F$124,C67)=0,"模块名称不存在",IF(COUNTIF($G$5:$G$164,G67)&gt;1,"符号名称重复",IF(COUNTIF($H$5:$H$164,H67)&gt;1,"逻辑地址重复","通过")))))))</x:f>
      </x:c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8"/>
      <x:c r="K68" s="38"/>
      <x:c r="L68" s="38"/>
      <x:c r="M68" s="38"/>
      <x:c r="N68" s="38"/>
      <x:c r="O68" s="38"/>
      <x:c r="P68" s="42" t="str">
        <x:f>IF(A68="","",IF(A68="跳过","跳过",IF(OR(B68="",C68="",LEN(D68)=0,LEN(E68)=0,F68="",G68="",H68="",I68=""),"缺少必填项",IF(COUNTIF('站点与CPU'!$B$5:$B$64,B68)=0,"站点ID不存在",IF(COUNTIF('硬件模块'!$F$5:$F$124,C68)=0,"模块名称不存在",IF(COUNTIF($G$5:$G$164,G68)&gt;1,"符号名称重复",IF(COUNTIF($H$5:$H$164,H68)&gt;1,"逻辑地址重复","通过")))))))</x:f>
      </x:c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8"/>
      <x:c r="K69" s="38"/>
      <x:c r="L69" s="38"/>
      <x:c r="M69" s="38"/>
      <x:c r="N69" s="38"/>
      <x:c r="O69" s="38"/>
      <x:c r="P69" s="42" t="str">
        <x:f>IF(A69="","",IF(A69="跳过","跳过",IF(OR(B69="",C69="",LEN(D69)=0,LEN(E69)=0,F69="",G69="",H69="",I69=""),"缺少必填项",IF(COUNTIF('站点与CPU'!$B$5:$B$64,B69)=0,"站点ID不存在",IF(COUNTIF('硬件模块'!$F$5:$F$124,C69)=0,"模块名称不存在",IF(COUNTIF($G$5:$G$164,G69)&gt;1,"符号名称重复",IF(COUNTIF($H$5:$H$164,H69)&gt;1,"逻辑地址重复","通过")))))))</x:f>
      </x:c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8"/>
      <x:c r="K70" s="38"/>
      <x:c r="L70" s="38"/>
      <x:c r="M70" s="38"/>
      <x:c r="N70" s="38"/>
      <x:c r="O70" s="38"/>
      <x:c r="P70" s="42" t="str">
        <x:f>IF(A70="","",IF(A70="跳过","跳过",IF(OR(B70="",C70="",LEN(D70)=0,LEN(E70)=0,F70="",G70="",H70="",I70=""),"缺少必填项",IF(COUNTIF('站点与CPU'!$B$5:$B$64,B70)=0,"站点ID不存在",IF(COUNTIF('硬件模块'!$F$5:$F$124,C70)=0,"模块名称不存在",IF(COUNTIF($G$5:$G$164,G70)&gt;1,"符号名称重复",IF(COUNTIF($H$5:$H$164,H70)&gt;1,"逻辑地址重复","通过")))))))</x:f>
      </x:c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8"/>
      <x:c r="K71" s="38"/>
      <x:c r="L71" s="38"/>
      <x:c r="M71" s="38"/>
      <x:c r="N71" s="38"/>
      <x:c r="O71" s="38"/>
      <x:c r="P71" s="42" t="str">
        <x:f>IF(A71="","",IF(A71="跳过","跳过",IF(OR(B71="",C71="",LEN(D71)=0,LEN(E71)=0,F71="",G71="",H71="",I71=""),"缺少必填项",IF(COUNTIF('站点与CPU'!$B$5:$B$64,B71)=0,"站点ID不存在",IF(COUNTIF('硬件模块'!$F$5:$F$124,C71)=0,"模块名称不存在",IF(COUNTIF($G$5:$G$164,G71)&gt;1,"符号名称重复",IF(COUNTIF($H$5:$H$164,H71)&gt;1,"逻辑地址重复","通过")))))))</x:f>
      </x:c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8"/>
      <x:c r="K72" s="38"/>
      <x:c r="L72" s="38"/>
      <x:c r="M72" s="38"/>
      <x:c r="N72" s="38"/>
      <x:c r="O72" s="38"/>
      <x:c r="P72" s="42" t="str">
        <x:f>IF(A72="","",IF(A72="跳过","跳过",IF(OR(B72="",C72="",LEN(D72)=0,LEN(E72)=0,F72="",G72="",H72="",I72=""),"缺少必填项",IF(COUNTIF('站点与CPU'!$B$5:$B$64,B72)=0,"站点ID不存在",IF(COUNTIF('硬件模块'!$F$5:$F$124,C72)=0,"模块名称不存在",IF(COUNTIF($G$5:$G$164,G72)&gt;1,"符号名称重复",IF(COUNTIF($H$5:$H$164,H72)&gt;1,"逻辑地址重复","通过")))))))</x:f>
      </x:c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8"/>
      <x:c r="K73" s="38"/>
      <x:c r="L73" s="38"/>
      <x:c r="M73" s="38"/>
      <x:c r="N73" s="38"/>
      <x:c r="O73" s="38"/>
      <x:c r="P73" s="42" t="str">
        <x:f>IF(A73="","",IF(A73="跳过","跳过",IF(OR(B73="",C73="",LEN(D73)=0,LEN(E73)=0,F73="",G73="",H73="",I73=""),"缺少必填项",IF(COUNTIF('站点与CPU'!$B$5:$B$64,B73)=0,"站点ID不存在",IF(COUNTIF('硬件模块'!$F$5:$F$124,C73)=0,"模块名称不存在",IF(COUNTIF($G$5:$G$164,G73)&gt;1,"符号名称重复",IF(COUNTIF($H$5:$H$164,H73)&gt;1,"逻辑地址重复","通过")))))))</x:f>
      </x:c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8"/>
      <x:c r="K74" s="38"/>
      <x:c r="L74" s="38"/>
      <x:c r="M74" s="38"/>
      <x:c r="N74" s="38"/>
      <x:c r="O74" s="38"/>
      <x:c r="P74" s="42" t="str">
        <x:f>IF(A74="","",IF(A74="跳过","跳过",IF(OR(B74="",C74="",LEN(D74)=0,LEN(E74)=0,F74="",G74="",H74="",I74=""),"缺少必填项",IF(COUNTIF('站点与CPU'!$B$5:$B$64,B74)=0,"站点ID不存在",IF(COUNTIF('硬件模块'!$F$5:$F$124,C74)=0,"模块名称不存在",IF(COUNTIF($G$5:$G$164,G74)&gt;1,"符号名称重复",IF(COUNTIF($H$5:$H$164,H74)&gt;1,"逻辑地址重复","通过")))))))</x:f>
      </x:c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8"/>
      <x:c r="K75" s="38"/>
      <x:c r="L75" s="38"/>
      <x:c r="M75" s="38"/>
      <x:c r="N75" s="38"/>
      <x:c r="O75" s="38"/>
      <x:c r="P75" s="42" t="str">
        <x:f>IF(A75="","",IF(A75="跳过","跳过",IF(OR(B75="",C75="",LEN(D75)=0,LEN(E75)=0,F75="",G75="",H75="",I75=""),"缺少必填项",IF(COUNTIF('站点与CPU'!$B$5:$B$64,B75)=0,"站点ID不存在",IF(COUNTIF('硬件模块'!$F$5:$F$124,C75)=0,"模块名称不存在",IF(COUNTIF($G$5:$G$164,G75)&gt;1,"符号名称重复",IF(COUNTIF($H$5:$H$164,H75)&gt;1,"逻辑地址重复","通过")))))))</x:f>
      </x:c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8"/>
      <x:c r="K76" s="38"/>
      <x:c r="L76" s="38"/>
      <x:c r="M76" s="38"/>
      <x:c r="N76" s="38"/>
      <x:c r="O76" s="38"/>
      <x:c r="P76" s="42" t="str">
        <x:f>IF(A76="","",IF(A76="跳过","跳过",IF(OR(B76="",C76="",LEN(D76)=0,LEN(E76)=0,F76="",G76="",H76="",I76=""),"缺少必填项",IF(COUNTIF('站点与CPU'!$B$5:$B$64,B76)=0,"站点ID不存在",IF(COUNTIF('硬件模块'!$F$5:$F$124,C76)=0,"模块名称不存在",IF(COUNTIF($G$5:$G$164,G76)&gt;1,"符号名称重复",IF(COUNTIF($H$5:$H$164,H76)&gt;1,"逻辑地址重复","通过")))))))</x:f>
      </x:c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8"/>
      <x:c r="K77" s="38"/>
      <x:c r="L77" s="38"/>
      <x:c r="M77" s="38"/>
      <x:c r="N77" s="38"/>
      <x:c r="O77" s="38"/>
      <x:c r="P77" s="42" t="str">
        <x:f>IF(A77="","",IF(A77="跳过","跳过",IF(OR(B77="",C77="",LEN(D77)=0,LEN(E77)=0,F77="",G77="",H77="",I77=""),"缺少必填项",IF(COUNTIF('站点与CPU'!$B$5:$B$64,B77)=0,"站点ID不存在",IF(COUNTIF('硬件模块'!$F$5:$F$124,C77)=0,"模块名称不存在",IF(COUNTIF($G$5:$G$164,G77)&gt;1,"符号名称重复",IF(COUNTIF($H$5:$H$164,H77)&gt;1,"逻辑地址重复","通过")))))))</x:f>
      </x:c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8"/>
      <x:c r="K78" s="38"/>
      <x:c r="L78" s="38"/>
      <x:c r="M78" s="38"/>
      <x:c r="N78" s="38"/>
      <x:c r="O78" s="38"/>
      <x:c r="P78" s="42" t="str">
        <x:f>IF(A78="","",IF(A78="跳过","跳过",IF(OR(B78="",C78="",LEN(D78)=0,LEN(E78)=0,F78="",G78="",H78="",I78=""),"缺少必填项",IF(COUNTIF('站点与CPU'!$B$5:$B$64,B78)=0,"站点ID不存在",IF(COUNTIF('硬件模块'!$F$5:$F$124,C78)=0,"模块名称不存在",IF(COUNTIF($G$5:$G$164,G78)&gt;1,"符号名称重复",IF(COUNTIF($H$5:$H$164,H78)&gt;1,"逻辑地址重复","通过")))))))</x:f>
      </x:c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8"/>
      <x:c r="K79" s="38"/>
      <x:c r="L79" s="38"/>
      <x:c r="M79" s="38"/>
      <x:c r="N79" s="38"/>
      <x:c r="O79" s="38"/>
      <x:c r="P79" s="42" t="str">
        <x:f>IF(A79="","",IF(A79="跳过","跳过",IF(OR(B79="",C79="",LEN(D79)=0,LEN(E79)=0,F79="",G79="",H79="",I79=""),"缺少必填项",IF(COUNTIF('站点与CPU'!$B$5:$B$64,B79)=0,"站点ID不存在",IF(COUNTIF('硬件模块'!$F$5:$F$124,C79)=0,"模块名称不存在",IF(COUNTIF($G$5:$G$164,G79)&gt;1,"符号名称重复",IF(COUNTIF($H$5:$H$164,H79)&gt;1,"逻辑地址重复","通过")))))))</x:f>
      </x:c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8"/>
      <x:c r="K80" s="38"/>
      <x:c r="L80" s="38"/>
      <x:c r="M80" s="38"/>
      <x:c r="N80" s="38"/>
      <x:c r="O80" s="38"/>
      <x:c r="P80" s="42" t="str">
        <x:f>IF(A80="","",IF(A80="跳过","跳过",IF(OR(B80="",C80="",LEN(D80)=0,LEN(E80)=0,F80="",G80="",H80="",I80=""),"缺少必填项",IF(COUNTIF('站点与CPU'!$B$5:$B$64,B80)=0,"站点ID不存在",IF(COUNTIF('硬件模块'!$F$5:$F$124,C80)=0,"模块名称不存在",IF(COUNTIF($G$5:$G$164,G80)&gt;1,"符号名称重复",IF(COUNTIF($H$5:$H$164,H80)&gt;1,"逻辑地址重复","通过")))))))</x:f>
      </x:c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8"/>
      <x:c r="K81" s="38"/>
      <x:c r="L81" s="38"/>
      <x:c r="M81" s="38"/>
      <x:c r="N81" s="38"/>
      <x:c r="O81" s="38"/>
      <x:c r="P81" s="42" t="str">
        <x:f>IF(A81="","",IF(A81="跳过","跳过",IF(OR(B81="",C81="",LEN(D81)=0,LEN(E81)=0,F81="",G81="",H81="",I81=""),"缺少必填项",IF(COUNTIF('站点与CPU'!$B$5:$B$64,B81)=0,"站点ID不存在",IF(COUNTIF('硬件模块'!$F$5:$F$124,C81)=0,"模块名称不存在",IF(COUNTIF($G$5:$G$164,G81)&gt;1,"符号名称重复",IF(COUNTIF($H$5:$H$164,H81)&gt;1,"逻辑地址重复","通过")))))))</x:f>
      </x:c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8"/>
      <x:c r="K82" s="38"/>
      <x:c r="L82" s="38"/>
      <x:c r="M82" s="38"/>
      <x:c r="N82" s="38"/>
      <x:c r="O82" s="38"/>
      <x:c r="P82" s="42" t="str">
        <x:f>IF(A82="","",IF(A82="跳过","跳过",IF(OR(B82="",C82="",LEN(D82)=0,LEN(E82)=0,F82="",G82="",H82="",I82=""),"缺少必填项",IF(COUNTIF('站点与CPU'!$B$5:$B$64,B82)=0,"站点ID不存在",IF(COUNTIF('硬件模块'!$F$5:$F$124,C82)=0,"模块名称不存在",IF(COUNTIF($G$5:$G$164,G82)&gt;1,"符号名称重复",IF(COUNTIF($H$5:$H$164,H82)&gt;1,"逻辑地址重复","通过")))))))</x:f>
      </x:c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8"/>
      <x:c r="K83" s="38"/>
      <x:c r="L83" s="38"/>
      <x:c r="M83" s="38"/>
      <x:c r="N83" s="38"/>
      <x:c r="O83" s="38"/>
      <x:c r="P83" s="42" t="str">
        <x:f>IF(A83="","",IF(A83="跳过","跳过",IF(OR(B83="",C83="",LEN(D83)=0,LEN(E83)=0,F83="",G83="",H83="",I83=""),"缺少必填项",IF(COUNTIF('站点与CPU'!$B$5:$B$64,B83)=0,"站点ID不存在",IF(COUNTIF('硬件模块'!$F$5:$F$124,C83)=0,"模块名称不存在",IF(COUNTIF($G$5:$G$164,G83)&gt;1,"符号名称重复",IF(COUNTIF($H$5:$H$164,H83)&gt;1,"逻辑地址重复","通过")))))))</x:f>
      </x:c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8"/>
      <x:c r="K84" s="38"/>
      <x:c r="L84" s="38"/>
      <x:c r="M84" s="38"/>
      <x:c r="N84" s="38"/>
      <x:c r="O84" s="38"/>
      <x:c r="P84" s="42" t="str">
        <x:f>IF(A84="","",IF(A84="跳过","跳过",IF(OR(B84="",C84="",LEN(D84)=0,LEN(E84)=0,F84="",G84="",H84="",I84=""),"缺少必填项",IF(COUNTIF('站点与CPU'!$B$5:$B$64,B84)=0,"站点ID不存在",IF(COUNTIF('硬件模块'!$F$5:$F$124,C84)=0,"模块名称不存在",IF(COUNTIF($G$5:$G$164,G84)&gt;1,"符号名称重复",IF(COUNTIF($H$5:$H$164,H84)&gt;1,"逻辑地址重复","通过")))))))</x:f>
      </x:c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8"/>
      <x:c r="K85" s="38"/>
      <x:c r="L85" s="38"/>
      <x:c r="M85" s="38"/>
      <x:c r="N85" s="38"/>
      <x:c r="O85" s="38"/>
      <x:c r="P85" s="42" t="str">
        <x:f>IF(A85="","",IF(A85="跳过","跳过",IF(OR(B85="",C85="",LEN(D85)=0,LEN(E85)=0,F85="",G85="",H85="",I85=""),"缺少必填项",IF(COUNTIF('站点与CPU'!$B$5:$B$64,B85)=0,"站点ID不存在",IF(COUNTIF('硬件模块'!$F$5:$F$124,C85)=0,"模块名称不存在",IF(COUNTIF($G$5:$G$164,G85)&gt;1,"符号名称重复",IF(COUNTIF($H$5:$H$164,H85)&gt;1,"逻辑地址重复","通过")))))))</x:f>
      </x:c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8"/>
      <x:c r="K86" s="38"/>
      <x:c r="L86" s="38"/>
      <x:c r="M86" s="38"/>
      <x:c r="N86" s="38"/>
      <x:c r="O86" s="38"/>
      <x:c r="P86" s="42" t="str">
        <x:f>IF(A86="","",IF(A86="跳过","跳过",IF(OR(B86="",C86="",LEN(D86)=0,LEN(E86)=0,F86="",G86="",H86="",I86=""),"缺少必填项",IF(COUNTIF('站点与CPU'!$B$5:$B$64,B86)=0,"站点ID不存在",IF(COUNTIF('硬件模块'!$F$5:$F$124,C86)=0,"模块名称不存在",IF(COUNTIF($G$5:$G$164,G86)&gt;1,"符号名称重复",IF(COUNTIF($H$5:$H$164,H86)&gt;1,"逻辑地址重复","通过")))))))</x:f>
      </x:c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8"/>
      <x:c r="K87" s="38"/>
      <x:c r="L87" s="38"/>
      <x:c r="M87" s="38"/>
      <x:c r="N87" s="38"/>
      <x:c r="O87" s="38"/>
      <x:c r="P87" s="42" t="str">
        <x:f>IF(A87="","",IF(A87="跳过","跳过",IF(OR(B87="",C87="",LEN(D87)=0,LEN(E87)=0,F87="",G87="",H87="",I87=""),"缺少必填项",IF(COUNTIF('站点与CPU'!$B$5:$B$64,B87)=0,"站点ID不存在",IF(COUNTIF('硬件模块'!$F$5:$F$124,C87)=0,"模块名称不存在",IF(COUNTIF($G$5:$G$164,G87)&gt;1,"符号名称重复",IF(COUNTIF($H$5:$H$164,H87)&gt;1,"逻辑地址重复","通过")))))))</x:f>
      </x:c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8"/>
      <x:c r="K88" s="38"/>
      <x:c r="L88" s="38"/>
      <x:c r="M88" s="38"/>
      <x:c r="N88" s="38"/>
      <x:c r="O88" s="38"/>
      <x:c r="P88" s="42" t="str">
        <x:f>IF(A88="","",IF(A88="跳过","跳过",IF(OR(B88="",C88="",LEN(D88)=0,LEN(E88)=0,F88="",G88="",H88="",I88=""),"缺少必填项",IF(COUNTIF('站点与CPU'!$B$5:$B$64,B88)=0,"站点ID不存在",IF(COUNTIF('硬件模块'!$F$5:$F$124,C88)=0,"模块名称不存在",IF(COUNTIF($G$5:$G$164,G88)&gt;1,"符号名称重复",IF(COUNTIF($H$5:$H$164,H88)&gt;1,"逻辑地址重复","通过")))))))</x:f>
      </x:c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8"/>
      <x:c r="K89" s="38"/>
      <x:c r="L89" s="38"/>
      <x:c r="M89" s="38"/>
      <x:c r="N89" s="38"/>
      <x:c r="O89" s="38"/>
      <x:c r="P89" s="42" t="str">
        <x:f>IF(A89="","",IF(A89="跳过","跳过",IF(OR(B89="",C89="",LEN(D89)=0,LEN(E89)=0,F89="",G89="",H89="",I89=""),"缺少必填项",IF(COUNTIF('站点与CPU'!$B$5:$B$64,B89)=0,"站点ID不存在",IF(COUNTIF('硬件模块'!$F$5:$F$124,C89)=0,"模块名称不存在",IF(COUNTIF($G$5:$G$164,G89)&gt;1,"符号名称重复",IF(COUNTIF($H$5:$H$164,H89)&gt;1,"逻辑地址重复","通过")))))))</x:f>
      </x:c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8"/>
      <x:c r="K90" s="38"/>
      <x:c r="L90" s="38"/>
      <x:c r="M90" s="38"/>
      <x:c r="N90" s="38"/>
      <x:c r="O90" s="38"/>
      <x:c r="P90" s="42" t="str">
        <x:f>IF(A90="","",IF(A90="跳过","跳过",IF(OR(B90="",C90="",LEN(D90)=0,LEN(E90)=0,F90="",G90="",H90="",I90=""),"缺少必填项",IF(COUNTIF('站点与CPU'!$B$5:$B$64,B90)=0,"站点ID不存在",IF(COUNTIF('硬件模块'!$F$5:$F$124,C90)=0,"模块名称不存在",IF(COUNTIF($G$5:$G$164,G90)&gt;1,"符号名称重复",IF(COUNTIF($H$5:$H$164,H90)&gt;1,"逻辑地址重复","通过")))))))</x:f>
      </x:c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8"/>
      <x:c r="K91" s="38"/>
      <x:c r="L91" s="38"/>
      <x:c r="M91" s="38"/>
      <x:c r="N91" s="38"/>
      <x:c r="O91" s="38"/>
      <x:c r="P91" s="42" t="str">
        <x:f>IF(A91="","",IF(A91="跳过","跳过",IF(OR(B91="",C91="",LEN(D91)=0,LEN(E91)=0,F91="",G91="",H91="",I91=""),"缺少必填项",IF(COUNTIF('站点与CPU'!$B$5:$B$64,B91)=0,"站点ID不存在",IF(COUNTIF('硬件模块'!$F$5:$F$124,C91)=0,"模块名称不存在",IF(COUNTIF($G$5:$G$164,G91)&gt;1,"符号名称重复",IF(COUNTIF($H$5:$H$164,H91)&gt;1,"逻辑地址重复","通过")))))))</x:f>
      </x:c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8"/>
      <x:c r="K92" s="38"/>
      <x:c r="L92" s="38"/>
      <x:c r="M92" s="38"/>
      <x:c r="N92" s="38"/>
      <x:c r="O92" s="38"/>
      <x:c r="P92" s="42" t="str">
        <x:f>IF(A92="","",IF(A92="跳过","跳过",IF(OR(B92="",C92="",LEN(D92)=0,LEN(E92)=0,F92="",G92="",H92="",I92=""),"缺少必填项",IF(COUNTIF('站点与CPU'!$B$5:$B$64,B92)=0,"站点ID不存在",IF(COUNTIF('硬件模块'!$F$5:$F$124,C92)=0,"模块名称不存在",IF(COUNTIF($G$5:$G$164,G92)&gt;1,"符号名称重复",IF(COUNTIF($H$5:$H$164,H92)&gt;1,"逻辑地址重复","通过")))))))</x:f>
      </x:c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8"/>
      <x:c r="K93" s="38"/>
      <x:c r="L93" s="38"/>
      <x:c r="M93" s="38"/>
      <x:c r="N93" s="38"/>
      <x:c r="O93" s="38"/>
      <x:c r="P93" s="42" t="str">
        <x:f>IF(A93="","",IF(A93="跳过","跳过",IF(OR(B93="",C93="",LEN(D93)=0,LEN(E93)=0,F93="",G93="",H93="",I93=""),"缺少必填项",IF(COUNTIF('站点与CPU'!$B$5:$B$64,B93)=0,"站点ID不存在",IF(COUNTIF('硬件模块'!$F$5:$F$124,C93)=0,"模块名称不存在",IF(COUNTIF($G$5:$G$164,G93)&gt;1,"符号名称重复",IF(COUNTIF($H$5:$H$164,H93)&gt;1,"逻辑地址重复","通过")))))))</x:f>
      </x:c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8"/>
      <x:c r="K94" s="38"/>
      <x:c r="L94" s="38"/>
      <x:c r="M94" s="38"/>
      <x:c r="N94" s="38"/>
      <x:c r="O94" s="38"/>
      <x:c r="P94" s="42" t="str">
        <x:f>IF(A94="","",IF(A94="跳过","跳过",IF(OR(B94="",C94="",LEN(D94)=0,LEN(E94)=0,F94="",G94="",H94="",I94=""),"缺少必填项",IF(COUNTIF('站点与CPU'!$B$5:$B$64,B94)=0,"站点ID不存在",IF(COUNTIF('硬件模块'!$F$5:$F$124,C94)=0,"模块名称不存在",IF(COUNTIF($G$5:$G$164,G94)&gt;1,"符号名称重复",IF(COUNTIF($H$5:$H$164,H94)&gt;1,"逻辑地址重复","通过")))))))</x:f>
      </x:c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8"/>
      <x:c r="K95" s="38"/>
      <x:c r="L95" s="38"/>
      <x:c r="M95" s="38"/>
      <x:c r="N95" s="38"/>
      <x:c r="O95" s="38"/>
      <x:c r="P95" s="42" t="str">
        <x:f>IF(A95="","",IF(A95="跳过","跳过",IF(OR(B95="",C95="",LEN(D95)=0,LEN(E95)=0,F95="",G95="",H95="",I95=""),"缺少必填项",IF(COUNTIF('站点与CPU'!$B$5:$B$64,B95)=0,"站点ID不存在",IF(COUNTIF('硬件模块'!$F$5:$F$124,C95)=0,"模块名称不存在",IF(COUNTIF($G$5:$G$164,G95)&gt;1,"符号名称重复",IF(COUNTIF($H$5:$H$164,H95)&gt;1,"逻辑地址重复","通过")))))))</x:f>
      </x:c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8"/>
      <x:c r="K96" s="38"/>
      <x:c r="L96" s="38"/>
      <x:c r="M96" s="38"/>
      <x:c r="N96" s="38"/>
      <x:c r="O96" s="38"/>
      <x:c r="P96" s="42" t="str">
        <x:f>IF(A96="","",IF(A96="跳过","跳过",IF(OR(B96="",C96="",LEN(D96)=0,LEN(E96)=0,F96="",G96="",H96="",I96=""),"缺少必填项",IF(COUNTIF('站点与CPU'!$B$5:$B$64,B96)=0,"站点ID不存在",IF(COUNTIF('硬件模块'!$F$5:$F$124,C96)=0,"模块名称不存在",IF(COUNTIF($G$5:$G$164,G96)&gt;1,"符号名称重复",IF(COUNTIF($H$5:$H$164,H96)&gt;1,"逻辑地址重复","通过")))))))</x:f>
      </x:c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8"/>
      <x:c r="K97" s="38"/>
      <x:c r="L97" s="38"/>
      <x:c r="M97" s="38"/>
      <x:c r="N97" s="38"/>
      <x:c r="O97" s="38"/>
      <x:c r="P97" s="42" t="str">
        <x:f>IF(A97="","",IF(A97="跳过","跳过",IF(OR(B97="",C97="",LEN(D97)=0,LEN(E97)=0,F97="",G97="",H97="",I97=""),"缺少必填项",IF(COUNTIF('站点与CPU'!$B$5:$B$64,B97)=0,"站点ID不存在",IF(COUNTIF('硬件模块'!$F$5:$F$124,C97)=0,"模块名称不存在",IF(COUNTIF($G$5:$G$164,G97)&gt;1,"符号名称重复",IF(COUNTIF($H$5:$H$164,H97)&gt;1,"逻辑地址重复","通过")))))))</x:f>
      </x:c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8"/>
      <x:c r="K98" s="38"/>
      <x:c r="L98" s="38"/>
      <x:c r="M98" s="38"/>
      <x:c r="N98" s="38"/>
      <x:c r="O98" s="38"/>
      <x:c r="P98" s="42" t="str">
        <x:f>IF(A98="","",IF(A98="跳过","跳过",IF(OR(B98="",C98="",LEN(D98)=0,LEN(E98)=0,F98="",G98="",H98="",I98=""),"缺少必填项",IF(COUNTIF('站点与CPU'!$B$5:$B$64,B98)=0,"站点ID不存在",IF(COUNTIF('硬件模块'!$F$5:$F$124,C98)=0,"模块名称不存在",IF(COUNTIF($G$5:$G$164,G98)&gt;1,"符号名称重复",IF(COUNTIF($H$5:$H$164,H98)&gt;1,"逻辑地址重复","通过")))))))</x:f>
      </x:c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8"/>
      <x:c r="K99" s="38"/>
      <x:c r="L99" s="38"/>
      <x:c r="M99" s="38"/>
      <x:c r="N99" s="38"/>
      <x:c r="O99" s="38"/>
      <x:c r="P99" s="42" t="str">
        <x:f>IF(A99="","",IF(A99="跳过","跳过",IF(OR(B99="",C99="",LEN(D99)=0,LEN(E99)=0,F99="",G99="",H99="",I99=""),"缺少必填项",IF(COUNTIF('站点与CPU'!$B$5:$B$64,B99)=0,"站点ID不存在",IF(COUNTIF('硬件模块'!$F$5:$F$124,C99)=0,"模块名称不存在",IF(COUNTIF($G$5:$G$164,G99)&gt;1,"符号名称重复",IF(COUNTIF($H$5:$H$164,H99)&gt;1,"逻辑地址重复","通过")))))))</x:f>
      </x:c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8"/>
      <x:c r="K100" s="38"/>
      <x:c r="L100" s="38"/>
      <x:c r="M100" s="38"/>
      <x:c r="N100" s="38"/>
      <x:c r="O100" s="38"/>
      <x:c r="P100" s="42" t="str">
        <x:f>IF(A100="","",IF(A100="跳过","跳过",IF(OR(B100="",C100="",LEN(D100)=0,LEN(E100)=0,F100="",G100="",H100="",I100=""),"缺少必填项",IF(COUNTIF('站点与CPU'!$B$5:$B$64,B100)=0,"站点ID不存在",IF(COUNTIF('硬件模块'!$F$5:$F$124,C100)=0,"模块名称不存在",IF(COUNTIF($G$5:$G$164,G100)&gt;1,"符号名称重复",IF(COUNTIF($H$5:$H$164,H100)&gt;1,"逻辑地址重复","通过")))))))</x:f>
      </x:c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8"/>
      <x:c r="K101" s="38"/>
      <x:c r="L101" s="38"/>
      <x:c r="M101" s="38"/>
      <x:c r="N101" s="38"/>
      <x:c r="O101" s="38"/>
      <x:c r="P101" s="42" t="str">
        <x:f>IF(A101="","",IF(A101="跳过","跳过",IF(OR(B101="",C101="",LEN(D101)=0,LEN(E101)=0,F101="",G101="",H101="",I101=""),"缺少必填项",IF(COUNTIF('站点与CPU'!$B$5:$B$64,B101)=0,"站点ID不存在",IF(COUNTIF('硬件模块'!$F$5:$F$124,C101)=0,"模块名称不存在",IF(COUNTIF($G$5:$G$164,G101)&gt;1,"符号名称重复",IF(COUNTIF($H$5:$H$164,H101)&gt;1,"逻辑地址重复","通过")))))))</x:f>
      </x:c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8"/>
      <x:c r="K102" s="38"/>
      <x:c r="L102" s="38"/>
      <x:c r="M102" s="38"/>
      <x:c r="N102" s="38"/>
      <x:c r="O102" s="38"/>
      <x:c r="P102" s="42" t="str">
        <x:f>IF(A102="","",IF(A102="跳过","跳过",IF(OR(B102="",C102="",LEN(D102)=0,LEN(E102)=0,F102="",G102="",H102="",I102=""),"缺少必填项",IF(COUNTIF('站点与CPU'!$B$5:$B$64,B102)=0,"站点ID不存在",IF(COUNTIF('硬件模块'!$F$5:$F$124,C102)=0,"模块名称不存在",IF(COUNTIF($G$5:$G$164,G102)&gt;1,"符号名称重复",IF(COUNTIF($H$5:$H$164,H102)&gt;1,"逻辑地址重复","通过")))))))</x:f>
      </x:c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8"/>
      <x:c r="K103" s="38"/>
      <x:c r="L103" s="38"/>
      <x:c r="M103" s="38"/>
      <x:c r="N103" s="38"/>
      <x:c r="O103" s="38"/>
      <x:c r="P103" s="42" t="str">
        <x:f>IF(A103="","",IF(A103="跳过","跳过",IF(OR(B103="",C103="",LEN(D103)=0,LEN(E103)=0,F103="",G103="",H103="",I103=""),"缺少必填项",IF(COUNTIF('站点与CPU'!$B$5:$B$64,B103)=0,"站点ID不存在",IF(COUNTIF('硬件模块'!$F$5:$F$124,C103)=0,"模块名称不存在",IF(COUNTIF($G$5:$G$164,G103)&gt;1,"符号名称重复",IF(COUNTIF($H$5:$H$164,H103)&gt;1,"逻辑地址重复","通过")))))))</x:f>
      </x:c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8"/>
      <x:c r="K104" s="38"/>
      <x:c r="L104" s="38"/>
      <x:c r="M104" s="38"/>
      <x:c r="N104" s="38"/>
      <x:c r="O104" s="38"/>
      <x:c r="P104" s="42" t="str">
        <x:f>IF(A104="","",IF(A104="跳过","跳过",IF(OR(B104="",C104="",LEN(D104)=0,LEN(E104)=0,F104="",G104="",H104="",I104=""),"缺少必填项",IF(COUNTIF('站点与CPU'!$B$5:$B$64,B104)=0,"站点ID不存在",IF(COUNTIF('硬件模块'!$F$5:$F$124,C104)=0,"模块名称不存在",IF(COUNTIF($G$5:$G$164,G104)&gt;1,"符号名称重复",IF(COUNTIF($H$5:$H$164,H104)&gt;1,"逻辑地址重复","通过")))))))</x:f>
      </x:c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8"/>
      <x:c r="K105" s="38"/>
      <x:c r="L105" s="38"/>
      <x:c r="M105" s="38"/>
      <x:c r="N105" s="38"/>
      <x:c r="O105" s="38"/>
      <x:c r="P105" s="42" t="str">
        <x:f>IF(A105="","",IF(A105="跳过","跳过",IF(OR(B105="",C105="",LEN(D105)=0,LEN(E105)=0,F105="",G105="",H105="",I105=""),"缺少必填项",IF(COUNTIF('站点与CPU'!$B$5:$B$64,B105)=0,"站点ID不存在",IF(COUNTIF('硬件模块'!$F$5:$F$124,C105)=0,"模块名称不存在",IF(COUNTIF($G$5:$G$164,G105)&gt;1,"符号名称重复",IF(COUNTIF($H$5:$H$164,H105)&gt;1,"逻辑地址重复","通过")))))))</x:f>
      </x:c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8"/>
      <x:c r="K106" s="38"/>
      <x:c r="L106" s="38"/>
      <x:c r="M106" s="38"/>
      <x:c r="N106" s="38"/>
      <x:c r="O106" s="38"/>
      <x:c r="P106" s="42" t="str">
        <x:f>IF(A106="","",IF(A106="跳过","跳过",IF(OR(B106="",C106="",LEN(D106)=0,LEN(E106)=0,F106="",G106="",H106="",I106=""),"缺少必填项",IF(COUNTIF('站点与CPU'!$B$5:$B$64,B106)=0,"站点ID不存在",IF(COUNTIF('硬件模块'!$F$5:$F$124,C106)=0,"模块名称不存在",IF(COUNTIF($G$5:$G$164,G106)&gt;1,"符号名称重复",IF(COUNTIF($H$5:$H$164,H106)&gt;1,"逻辑地址重复","通过")))))))</x:f>
      </x:c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8"/>
      <x:c r="K107" s="38"/>
      <x:c r="L107" s="38"/>
      <x:c r="M107" s="38"/>
      <x:c r="N107" s="38"/>
      <x:c r="O107" s="38"/>
      <x:c r="P107" s="42" t="str">
        <x:f>IF(A107="","",IF(A107="跳过","跳过",IF(OR(B107="",C107="",LEN(D107)=0,LEN(E107)=0,F107="",G107="",H107="",I107=""),"缺少必填项",IF(COUNTIF('站点与CPU'!$B$5:$B$64,B107)=0,"站点ID不存在",IF(COUNTIF('硬件模块'!$F$5:$F$124,C107)=0,"模块名称不存在",IF(COUNTIF($G$5:$G$164,G107)&gt;1,"符号名称重复",IF(COUNTIF($H$5:$H$164,H107)&gt;1,"逻辑地址重复","通过")))))))</x:f>
      </x:c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8"/>
      <x:c r="K108" s="38"/>
      <x:c r="L108" s="38"/>
      <x:c r="M108" s="38"/>
      <x:c r="N108" s="38"/>
      <x:c r="O108" s="38"/>
      <x:c r="P108" s="42" t="str">
        <x:f>IF(A108="","",IF(A108="跳过","跳过",IF(OR(B108="",C108="",LEN(D108)=0,LEN(E108)=0,F108="",G108="",H108="",I108=""),"缺少必填项",IF(COUNTIF('站点与CPU'!$B$5:$B$64,B108)=0,"站点ID不存在",IF(COUNTIF('硬件模块'!$F$5:$F$124,C108)=0,"模块名称不存在",IF(COUNTIF($G$5:$G$164,G108)&gt;1,"符号名称重复",IF(COUNTIF($H$5:$H$164,H108)&gt;1,"逻辑地址重复","通过")))))))</x:f>
      </x:c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8"/>
      <x:c r="K109" s="38"/>
      <x:c r="L109" s="38"/>
      <x:c r="M109" s="38"/>
      <x:c r="N109" s="38"/>
      <x:c r="O109" s="38"/>
      <x:c r="P109" s="42" t="str">
        <x:f>IF(A109="","",IF(A109="跳过","跳过",IF(OR(B109="",C109="",LEN(D109)=0,LEN(E109)=0,F109="",G109="",H109="",I109=""),"缺少必填项",IF(COUNTIF('站点与CPU'!$B$5:$B$64,B109)=0,"站点ID不存在",IF(COUNTIF('硬件模块'!$F$5:$F$124,C109)=0,"模块名称不存在",IF(COUNTIF($G$5:$G$164,G109)&gt;1,"符号名称重复",IF(COUNTIF($H$5:$H$164,H109)&gt;1,"逻辑地址重复","通过")))))))</x:f>
      </x:c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8"/>
      <x:c r="K110" s="38"/>
      <x:c r="L110" s="38"/>
      <x:c r="M110" s="38"/>
      <x:c r="N110" s="38"/>
      <x:c r="O110" s="38"/>
      <x:c r="P110" s="42" t="str">
        <x:f>IF(A110="","",IF(A110="跳过","跳过",IF(OR(B110="",C110="",LEN(D110)=0,LEN(E110)=0,F110="",G110="",H110="",I110=""),"缺少必填项",IF(COUNTIF('站点与CPU'!$B$5:$B$64,B110)=0,"站点ID不存在",IF(COUNTIF('硬件模块'!$F$5:$F$124,C110)=0,"模块名称不存在",IF(COUNTIF($G$5:$G$164,G110)&gt;1,"符号名称重复",IF(COUNTIF($H$5:$H$164,H110)&gt;1,"逻辑地址重复","通过")))))))</x:f>
      </x:c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8"/>
      <x:c r="K111" s="38"/>
      <x:c r="L111" s="38"/>
      <x:c r="M111" s="38"/>
      <x:c r="N111" s="38"/>
      <x:c r="O111" s="38"/>
      <x:c r="P111" s="42" t="str">
        <x:f>IF(A111="","",IF(A111="跳过","跳过",IF(OR(B111="",C111="",LEN(D111)=0,LEN(E111)=0,F111="",G111="",H111="",I111=""),"缺少必填项",IF(COUNTIF('站点与CPU'!$B$5:$B$64,B111)=0,"站点ID不存在",IF(COUNTIF('硬件模块'!$F$5:$F$124,C111)=0,"模块名称不存在",IF(COUNTIF($G$5:$G$164,G111)&gt;1,"符号名称重复",IF(COUNTIF($H$5:$H$164,H111)&gt;1,"逻辑地址重复","通过")))))))</x:f>
      </x:c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8"/>
      <x:c r="K112" s="38"/>
      <x:c r="L112" s="38"/>
      <x:c r="M112" s="38"/>
      <x:c r="N112" s="38"/>
      <x:c r="O112" s="38"/>
      <x:c r="P112" s="42" t="str">
        <x:f>IF(A112="","",IF(A112="跳过","跳过",IF(OR(B112="",C112="",LEN(D112)=0,LEN(E112)=0,F112="",G112="",H112="",I112=""),"缺少必填项",IF(COUNTIF('站点与CPU'!$B$5:$B$64,B112)=0,"站点ID不存在",IF(COUNTIF('硬件模块'!$F$5:$F$124,C112)=0,"模块名称不存在",IF(COUNTIF($G$5:$G$164,G112)&gt;1,"符号名称重复",IF(COUNTIF($H$5:$H$164,H112)&gt;1,"逻辑地址重复","通过")))))))</x:f>
      </x:c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8"/>
      <x:c r="K113" s="38"/>
      <x:c r="L113" s="38"/>
      <x:c r="M113" s="38"/>
      <x:c r="N113" s="38"/>
      <x:c r="O113" s="38"/>
      <x:c r="P113" s="42" t="str">
        <x:f>IF(A113="","",IF(A113="跳过","跳过",IF(OR(B113="",C113="",LEN(D113)=0,LEN(E113)=0,F113="",G113="",H113="",I113=""),"缺少必填项",IF(COUNTIF('站点与CPU'!$B$5:$B$64,B113)=0,"站点ID不存在",IF(COUNTIF('硬件模块'!$F$5:$F$124,C113)=0,"模块名称不存在",IF(COUNTIF($G$5:$G$164,G113)&gt;1,"符号名称重复",IF(COUNTIF($H$5:$H$164,H113)&gt;1,"逻辑地址重复","通过")))))))</x:f>
      </x:c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8"/>
      <x:c r="K114" s="38"/>
      <x:c r="L114" s="38"/>
      <x:c r="M114" s="38"/>
      <x:c r="N114" s="38"/>
      <x:c r="O114" s="38"/>
      <x:c r="P114" s="42" t="str">
        <x:f>IF(A114="","",IF(A114="跳过","跳过",IF(OR(B114="",C114="",LEN(D114)=0,LEN(E114)=0,F114="",G114="",H114="",I114=""),"缺少必填项",IF(COUNTIF('站点与CPU'!$B$5:$B$64,B114)=0,"站点ID不存在",IF(COUNTIF('硬件模块'!$F$5:$F$124,C114)=0,"模块名称不存在",IF(COUNTIF($G$5:$G$164,G114)&gt;1,"符号名称重复",IF(COUNTIF($H$5:$H$164,H114)&gt;1,"逻辑地址重复","通过")))))))</x:f>
      </x:c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8"/>
      <x:c r="K115" s="38"/>
      <x:c r="L115" s="38"/>
      <x:c r="M115" s="38"/>
      <x:c r="N115" s="38"/>
      <x:c r="O115" s="38"/>
      <x:c r="P115" s="42" t="str">
        <x:f>IF(A115="","",IF(A115="跳过","跳过",IF(OR(B115="",C115="",LEN(D115)=0,LEN(E115)=0,F115="",G115="",H115="",I115=""),"缺少必填项",IF(COUNTIF('站点与CPU'!$B$5:$B$64,B115)=0,"站点ID不存在",IF(COUNTIF('硬件模块'!$F$5:$F$124,C115)=0,"模块名称不存在",IF(COUNTIF($G$5:$G$164,G115)&gt;1,"符号名称重复",IF(COUNTIF($H$5:$H$164,H115)&gt;1,"逻辑地址重复","通过")))))))</x:f>
      </x:c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8"/>
      <x:c r="K116" s="38"/>
      <x:c r="L116" s="38"/>
      <x:c r="M116" s="38"/>
      <x:c r="N116" s="38"/>
      <x:c r="O116" s="38"/>
      <x:c r="P116" s="42" t="str">
        <x:f>IF(A116="","",IF(A116="跳过","跳过",IF(OR(B116="",C116="",LEN(D116)=0,LEN(E116)=0,F116="",G116="",H116="",I116=""),"缺少必填项",IF(COUNTIF('站点与CPU'!$B$5:$B$64,B116)=0,"站点ID不存在",IF(COUNTIF('硬件模块'!$F$5:$F$124,C116)=0,"模块名称不存在",IF(COUNTIF($G$5:$G$164,G116)&gt;1,"符号名称重复",IF(COUNTIF($H$5:$H$164,H116)&gt;1,"逻辑地址重复","通过")))))))</x:f>
      </x:c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8"/>
      <x:c r="K117" s="38"/>
      <x:c r="L117" s="38"/>
      <x:c r="M117" s="38"/>
      <x:c r="N117" s="38"/>
      <x:c r="O117" s="38"/>
      <x:c r="P117" s="42" t="str">
        <x:f>IF(A117="","",IF(A117="跳过","跳过",IF(OR(B117="",C117="",LEN(D117)=0,LEN(E117)=0,F117="",G117="",H117="",I117=""),"缺少必填项",IF(COUNTIF('站点与CPU'!$B$5:$B$64,B117)=0,"站点ID不存在",IF(COUNTIF('硬件模块'!$F$5:$F$124,C117)=0,"模块名称不存在",IF(COUNTIF($G$5:$G$164,G117)&gt;1,"符号名称重复",IF(COUNTIF($H$5:$H$164,H117)&gt;1,"逻辑地址重复","通过")))))))</x:f>
      </x:c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8"/>
      <x:c r="K118" s="38"/>
      <x:c r="L118" s="38"/>
      <x:c r="M118" s="38"/>
      <x:c r="N118" s="38"/>
      <x:c r="O118" s="38"/>
      <x:c r="P118" s="42" t="str">
        <x:f>IF(A118="","",IF(A118="跳过","跳过",IF(OR(B118="",C118="",LEN(D118)=0,LEN(E118)=0,F118="",G118="",H118="",I118=""),"缺少必填项",IF(COUNTIF('站点与CPU'!$B$5:$B$64,B118)=0,"站点ID不存在",IF(COUNTIF('硬件模块'!$F$5:$F$124,C118)=0,"模块名称不存在",IF(COUNTIF($G$5:$G$164,G118)&gt;1,"符号名称重复",IF(COUNTIF($H$5:$H$164,H118)&gt;1,"逻辑地址重复","通过")))))))</x:f>
      </x:c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8"/>
      <x:c r="K119" s="38"/>
      <x:c r="L119" s="38"/>
      <x:c r="M119" s="38"/>
      <x:c r="N119" s="38"/>
      <x:c r="O119" s="38"/>
      <x:c r="P119" s="42" t="str">
        <x:f>IF(A119="","",IF(A119="跳过","跳过",IF(OR(B119="",C119="",LEN(D119)=0,LEN(E119)=0,F119="",G119="",H119="",I119=""),"缺少必填项",IF(COUNTIF('站点与CPU'!$B$5:$B$64,B119)=0,"站点ID不存在",IF(COUNTIF('硬件模块'!$F$5:$F$124,C119)=0,"模块名称不存在",IF(COUNTIF($G$5:$G$164,G119)&gt;1,"符号名称重复",IF(COUNTIF($H$5:$H$164,H119)&gt;1,"逻辑地址重复","通过")))))))</x:f>
      </x:c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8"/>
      <x:c r="K120" s="38"/>
      <x:c r="L120" s="38"/>
      <x:c r="M120" s="38"/>
      <x:c r="N120" s="38"/>
      <x:c r="O120" s="38"/>
      <x:c r="P120" s="42" t="str">
        <x:f>IF(A120="","",IF(A120="跳过","跳过",IF(OR(B120="",C120="",LEN(D120)=0,LEN(E120)=0,F120="",G120="",H120="",I120=""),"缺少必填项",IF(COUNTIF('站点与CPU'!$B$5:$B$64,B120)=0,"站点ID不存在",IF(COUNTIF('硬件模块'!$F$5:$F$124,C120)=0,"模块名称不存在",IF(COUNTIF($G$5:$G$164,G120)&gt;1,"符号名称重复",IF(COUNTIF($H$5:$H$164,H120)&gt;1,"逻辑地址重复","通过")))))))</x:f>
      </x:c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8"/>
      <x:c r="K121" s="38"/>
      <x:c r="L121" s="38"/>
      <x:c r="M121" s="38"/>
      <x:c r="N121" s="38"/>
      <x:c r="O121" s="38"/>
      <x:c r="P121" s="42" t="str">
        <x:f>IF(A121="","",IF(A121="跳过","跳过",IF(OR(B121="",C121="",LEN(D121)=0,LEN(E121)=0,F121="",G121="",H121="",I121=""),"缺少必填项",IF(COUNTIF('站点与CPU'!$B$5:$B$64,B121)=0,"站点ID不存在",IF(COUNTIF('硬件模块'!$F$5:$F$124,C121)=0,"模块名称不存在",IF(COUNTIF($G$5:$G$164,G121)&gt;1,"符号名称重复",IF(COUNTIF($H$5:$H$164,H121)&gt;1,"逻辑地址重复","通过")))))))</x:f>
      </x:c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8"/>
      <x:c r="K122" s="38"/>
      <x:c r="L122" s="38"/>
      <x:c r="M122" s="38"/>
      <x:c r="N122" s="38"/>
      <x:c r="O122" s="38"/>
      <x:c r="P122" s="42" t="str">
        <x:f>IF(A122="","",IF(A122="跳过","跳过",IF(OR(B122="",C122="",LEN(D122)=0,LEN(E122)=0,F122="",G122="",H122="",I122=""),"缺少必填项",IF(COUNTIF('站点与CPU'!$B$5:$B$64,B122)=0,"站点ID不存在",IF(COUNTIF('硬件模块'!$F$5:$F$124,C122)=0,"模块名称不存在",IF(COUNTIF($G$5:$G$164,G122)&gt;1,"符号名称重复",IF(COUNTIF($H$5:$H$164,H122)&gt;1,"逻辑地址重复","通过")))))))</x:f>
      </x:c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8"/>
      <x:c r="K123" s="38"/>
      <x:c r="L123" s="38"/>
      <x:c r="M123" s="38"/>
      <x:c r="N123" s="38"/>
      <x:c r="O123" s="38"/>
      <x:c r="P123" s="42" t="str">
        <x:f>IF(A123="","",IF(A123="跳过","跳过",IF(OR(B123="",C123="",LEN(D123)=0,LEN(E123)=0,F123="",G123="",H123="",I123=""),"缺少必填项",IF(COUNTIF('站点与CPU'!$B$5:$B$64,B123)=0,"站点ID不存在",IF(COUNTIF('硬件模块'!$F$5:$F$124,C123)=0,"模块名称不存在",IF(COUNTIF($G$5:$G$164,G123)&gt;1,"符号名称重复",IF(COUNTIF($H$5:$H$164,H123)&gt;1,"逻辑地址重复","通过")))))))</x:f>
      </x:c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8"/>
      <x:c r="K124" s="38"/>
      <x:c r="L124" s="38"/>
      <x:c r="M124" s="38"/>
      <x:c r="N124" s="38"/>
      <x:c r="O124" s="38"/>
      <x:c r="P124" s="42" t="str">
        <x:f>IF(A124="","",IF(A124="跳过","跳过",IF(OR(B124="",C124="",LEN(D124)=0,LEN(E124)=0,F124="",G124="",H124="",I124=""),"缺少必填项",IF(COUNTIF('站点与CPU'!$B$5:$B$64,B124)=0,"站点ID不存在",IF(COUNTIF('硬件模块'!$F$5:$F$124,C124)=0,"模块名称不存在",IF(COUNTIF($G$5:$G$164,G124)&gt;1,"符号名称重复",IF(COUNTIF($H$5:$H$164,H124)&gt;1,"逻辑地址重复","通过")))))))</x:f>
      </x:c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8"/>
      <x:c r="K125" s="38"/>
      <x:c r="L125" s="38"/>
      <x:c r="M125" s="38"/>
      <x:c r="N125" s="38"/>
      <x:c r="O125" s="38"/>
      <x:c r="P125" s="42" t="str">
        <x:f>IF(A125="","",IF(A125="跳过","跳过",IF(OR(B125="",C125="",LEN(D125)=0,LEN(E125)=0,F125="",G125="",H125="",I125=""),"缺少必填项",IF(COUNTIF('站点与CPU'!$B$5:$B$64,B125)=0,"站点ID不存在",IF(COUNTIF('硬件模块'!$F$5:$F$124,C125)=0,"模块名称不存在",IF(COUNTIF($G$5:$G$164,G125)&gt;1,"符号名称重复",IF(COUNTIF($H$5:$H$164,H125)&gt;1,"逻辑地址重复","通过")))))))</x:f>
      </x:c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8"/>
      <x:c r="K126" s="38"/>
      <x:c r="L126" s="38"/>
      <x:c r="M126" s="38"/>
      <x:c r="N126" s="38"/>
      <x:c r="O126" s="38"/>
      <x:c r="P126" s="42" t="str">
        <x:f>IF(A126="","",IF(A126="跳过","跳过",IF(OR(B126="",C126="",LEN(D126)=0,LEN(E126)=0,F126="",G126="",H126="",I126=""),"缺少必填项",IF(COUNTIF('站点与CPU'!$B$5:$B$64,B126)=0,"站点ID不存在",IF(COUNTIF('硬件模块'!$F$5:$F$124,C126)=0,"模块名称不存在",IF(COUNTIF($G$5:$G$164,G126)&gt;1,"符号名称重复",IF(COUNTIF($H$5:$H$164,H126)&gt;1,"逻辑地址重复","通过")))))))</x:f>
      </x:c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8"/>
      <x:c r="K127" s="38"/>
      <x:c r="L127" s="38"/>
      <x:c r="M127" s="38"/>
      <x:c r="N127" s="38"/>
      <x:c r="O127" s="38"/>
      <x:c r="P127" s="42" t="str">
        <x:f>IF(A127="","",IF(A127="跳过","跳过",IF(OR(B127="",C127="",LEN(D127)=0,LEN(E127)=0,F127="",G127="",H127="",I127=""),"缺少必填项",IF(COUNTIF('站点与CPU'!$B$5:$B$64,B127)=0,"站点ID不存在",IF(COUNTIF('硬件模块'!$F$5:$F$124,C127)=0,"模块名称不存在",IF(COUNTIF($G$5:$G$164,G127)&gt;1,"符号名称重复",IF(COUNTIF($H$5:$H$164,H127)&gt;1,"逻辑地址重复","通过")))))))</x:f>
      </x:c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8"/>
      <x:c r="K128" s="38"/>
      <x:c r="L128" s="38"/>
      <x:c r="M128" s="38"/>
      <x:c r="N128" s="38"/>
      <x:c r="O128" s="38"/>
      <x:c r="P128" s="42" t="str">
        <x:f>IF(A128="","",IF(A128="跳过","跳过",IF(OR(B128="",C128="",LEN(D128)=0,LEN(E128)=0,F128="",G128="",H128="",I128=""),"缺少必填项",IF(COUNTIF('站点与CPU'!$B$5:$B$64,B128)=0,"站点ID不存在",IF(COUNTIF('硬件模块'!$F$5:$F$124,C128)=0,"模块名称不存在",IF(COUNTIF($G$5:$G$164,G128)&gt;1,"符号名称重复",IF(COUNTIF($H$5:$H$164,H128)&gt;1,"逻辑地址重复","通过")))))))</x:f>
      </x:c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8"/>
      <x:c r="K129" s="38"/>
      <x:c r="L129" s="38"/>
      <x:c r="M129" s="38"/>
      <x:c r="N129" s="38"/>
      <x:c r="O129" s="38"/>
      <x:c r="P129" s="42" t="str">
        <x:f>IF(A129="","",IF(A129="跳过","跳过",IF(OR(B129="",C129="",LEN(D129)=0,LEN(E129)=0,F129="",G129="",H129="",I129=""),"缺少必填项",IF(COUNTIF('站点与CPU'!$B$5:$B$64,B129)=0,"站点ID不存在",IF(COUNTIF('硬件模块'!$F$5:$F$124,C129)=0,"模块名称不存在",IF(COUNTIF($G$5:$G$164,G129)&gt;1,"符号名称重复",IF(COUNTIF($H$5:$H$164,H129)&gt;1,"逻辑地址重复","通过")))))))</x:f>
      </x:c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8"/>
      <x:c r="K130" s="38"/>
      <x:c r="L130" s="38"/>
      <x:c r="M130" s="38"/>
      <x:c r="N130" s="38"/>
      <x:c r="O130" s="38"/>
      <x:c r="P130" s="42" t="str">
        <x:f>IF(A130="","",IF(A130="跳过","跳过",IF(OR(B130="",C130="",LEN(D130)=0,LEN(E130)=0,F130="",G130="",H130="",I130=""),"缺少必填项",IF(COUNTIF('站点与CPU'!$B$5:$B$64,B130)=0,"站点ID不存在",IF(COUNTIF('硬件模块'!$F$5:$F$124,C130)=0,"模块名称不存在",IF(COUNTIF($G$5:$G$164,G130)&gt;1,"符号名称重复",IF(COUNTIF($H$5:$H$164,H130)&gt;1,"逻辑地址重复","通过")))))))</x:f>
      </x:c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8"/>
      <x:c r="K131" s="38"/>
      <x:c r="L131" s="38"/>
      <x:c r="M131" s="38"/>
      <x:c r="N131" s="38"/>
      <x:c r="O131" s="38"/>
      <x:c r="P131" s="42" t="str">
        <x:f>IF(A131="","",IF(A131="跳过","跳过",IF(OR(B131="",C131="",LEN(D131)=0,LEN(E131)=0,F131="",G131="",H131="",I131=""),"缺少必填项",IF(COUNTIF('站点与CPU'!$B$5:$B$64,B131)=0,"站点ID不存在",IF(COUNTIF('硬件模块'!$F$5:$F$124,C131)=0,"模块名称不存在",IF(COUNTIF($G$5:$G$164,G131)&gt;1,"符号名称重复",IF(COUNTIF($H$5:$H$164,H131)&gt;1,"逻辑地址重复","通过")))))))</x:f>
      </x:c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8"/>
      <x:c r="K132" s="38"/>
      <x:c r="L132" s="38"/>
      <x:c r="M132" s="38"/>
      <x:c r="N132" s="38"/>
      <x:c r="O132" s="38"/>
      <x:c r="P132" s="42" t="str">
        <x:f>IF(A132="","",IF(A132="跳过","跳过",IF(OR(B132="",C132="",LEN(D132)=0,LEN(E132)=0,F132="",G132="",H132="",I132=""),"缺少必填项",IF(COUNTIF('站点与CPU'!$B$5:$B$64,B132)=0,"站点ID不存在",IF(COUNTIF('硬件模块'!$F$5:$F$124,C132)=0,"模块名称不存在",IF(COUNTIF($G$5:$G$164,G132)&gt;1,"符号名称重复",IF(COUNTIF($H$5:$H$164,H132)&gt;1,"逻辑地址重复","通过")))))))</x:f>
      </x:c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8"/>
      <x:c r="K133" s="38"/>
      <x:c r="L133" s="38"/>
      <x:c r="M133" s="38"/>
      <x:c r="N133" s="38"/>
      <x:c r="O133" s="38"/>
      <x:c r="P133" s="42" t="str">
        <x:f>IF(A133="","",IF(A133="跳过","跳过",IF(OR(B133="",C133="",LEN(D133)=0,LEN(E133)=0,F133="",G133="",H133="",I133=""),"缺少必填项",IF(COUNTIF('站点与CPU'!$B$5:$B$64,B133)=0,"站点ID不存在",IF(COUNTIF('硬件模块'!$F$5:$F$124,C133)=0,"模块名称不存在",IF(COUNTIF($G$5:$G$164,G133)&gt;1,"符号名称重复",IF(COUNTIF($H$5:$H$164,H133)&gt;1,"逻辑地址重复","通过")))))))</x:f>
      </x:c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8"/>
      <x:c r="K134" s="38"/>
      <x:c r="L134" s="38"/>
      <x:c r="M134" s="38"/>
      <x:c r="N134" s="38"/>
      <x:c r="O134" s="38"/>
      <x:c r="P134" s="42" t="str">
        <x:f>IF(A134="","",IF(A134="跳过","跳过",IF(OR(B134="",C134="",LEN(D134)=0,LEN(E134)=0,F134="",G134="",H134="",I134=""),"缺少必填项",IF(COUNTIF('站点与CPU'!$B$5:$B$64,B134)=0,"站点ID不存在",IF(COUNTIF('硬件模块'!$F$5:$F$124,C134)=0,"模块名称不存在",IF(COUNTIF($G$5:$G$164,G134)&gt;1,"符号名称重复",IF(COUNTIF($H$5:$H$164,H134)&gt;1,"逻辑地址重复","通过")))))))</x:f>
      </x:c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8"/>
      <x:c r="K135" s="38"/>
      <x:c r="L135" s="38"/>
      <x:c r="M135" s="38"/>
      <x:c r="N135" s="38"/>
      <x:c r="O135" s="38"/>
      <x:c r="P135" s="42" t="str">
        <x:f>IF(A135="","",IF(A135="跳过","跳过",IF(OR(B135="",C135="",LEN(D135)=0,LEN(E135)=0,F135="",G135="",H135="",I135=""),"缺少必填项",IF(COUNTIF('站点与CPU'!$B$5:$B$64,B135)=0,"站点ID不存在",IF(COUNTIF('硬件模块'!$F$5:$F$124,C135)=0,"模块名称不存在",IF(COUNTIF($G$5:$G$164,G135)&gt;1,"符号名称重复",IF(COUNTIF($H$5:$H$164,H135)&gt;1,"逻辑地址重复","通过")))))))</x:f>
      </x:c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8"/>
      <x:c r="K136" s="38"/>
      <x:c r="L136" s="38"/>
      <x:c r="M136" s="38"/>
      <x:c r="N136" s="38"/>
      <x:c r="O136" s="38"/>
      <x:c r="P136" s="42" t="str">
        <x:f>IF(A136="","",IF(A136="跳过","跳过",IF(OR(B136="",C136="",LEN(D136)=0,LEN(E136)=0,F136="",G136="",H136="",I136=""),"缺少必填项",IF(COUNTIF('站点与CPU'!$B$5:$B$64,B136)=0,"站点ID不存在",IF(COUNTIF('硬件模块'!$F$5:$F$124,C136)=0,"模块名称不存在",IF(COUNTIF($G$5:$G$164,G136)&gt;1,"符号名称重复",IF(COUNTIF($H$5:$H$164,H136)&gt;1,"逻辑地址重复","通过")))))))</x:f>
      </x:c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8"/>
      <x:c r="K137" s="38"/>
      <x:c r="L137" s="38"/>
      <x:c r="M137" s="38"/>
      <x:c r="N137" s="38"/>
      <x:c r="O137" s="38"/>
      <x:c r="P137" s="42" t="str">
        <x:f>IF(A137="","",IF(A137="跳过","跳过",IF(OR(B137="",C137="",LEN(D137)=0,LEN(E137)=0,F137="",G137="",H137="",I137=""),"缺少必填项",IF(COUNTIF('站点与CPU'!$B$5:$B$64,B137)=0,"站点ID不存在",IF(COUNTIF('硬件模块'!$F$5:$F$124,C137)=0,"模块名称不存在",IF(COUNTIF($G$5:$G$164,G137)&gt;1,"符号名称重复",IF(COUNTIF($H$5:$H$164,H137)&gt;1,"逻辑地址重复","通过")))))))</x:f>
      </x:c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8"/>
      <x:c r="K138" s="38"/>
      <x:c r="L138" s="38"/>
      <x:c r="M138" s="38"/>
      <x:c r="N138" s="38"/>
      <x:c r="O138" s="38"/>
      <x:c r="P138" s="42" t="str">
        <x:f>IF(A138="","",IF(A138="跳过","跳过",IF(OR(B138="",C138="",LEN(D138)=0,LEN(E138)=0,F138="",G138="",H138="",I138=""),"缺少必填项",IF(COUNTIF('站点与CPU'!$B$5:$B$64,B138)=0,"站点ID不存在",IF(COUNTIF('硬件模块'!$F$5:$F$124,C138)=0,"模块名称不存在",IF(COUNTIF($G$5:$G$164,G138)&gt;1,"符号名称重复",IF(COUNTIF($H$5:$H$164,H138)&gt;1,"逻辑地址重复","通过")))))))</x:f>
      </x:c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8"/>
      <x:c r="K139" s="38"/>
      <x:c r="L139" s="38"/>
      <x:c r="M139" s="38"/>
      <x:c r="N139" s="38"/>
      <x:c r="O139" s="38"/>
      <x:c r="P139" s="42" t="str">
        <x:f>IF(A139="","",IF(A139="跳过","跳过",IF(OR(B139="",C139="",LEN(D139)=0,LEN(E139)=0,F139="",G139="",H139="",I139=""),"缺少必填项",IF(COUNTIF('站点与CPU'!$B$5:$B$64,B139)=0,"站点ID不存在",IF(COUNTIF('硬件模块'!$F$5:$F$124,C139)=0,"模块名称不存在",IF(COUNTIF($G$5:$G$164,G139)&gt;1,"符号名称重复",IF(COUNTIF($H$5:$H$164,H139)&gt;1,"逻辑地址重复","通过")))))))</x:f>
      </x:c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8"/>
      <x:c r="K140" s="38"/>
      <x:c r="L140" s="38"/>
      <x:c r="M140" s="38"/>
      <x:c r="N140" s="38"/>
      <x:c r="O140" s="38"/>
      <x:c r="P140" s="42" t="str">
        <x:f>IF(A140="","",IF(A140="跳过","跳过",IF(OR(B140="",C140="",LEN(D140)=0,LEN(E140)=0,F140="",G140="",H140="",I140=""),"缺少必填项",IF(COUNTIF('站点与CPU'!$B$5:$B$64,B140)=0,"站点ID不存在",IF(COUNTIF('硬件模块'!$F$5:$F$124,C140)=0,"模块名称不存在",IF(COUNTIF($G$5:$G$164,G140)&gt;1,"符号名称重复",IF(COUNTIF($H$5:$H$164,H140)&gt;1,"逻辑地址重复","通过")))))))</x:f>
      </x:c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8"/>
      <x:c r="K141" s="38"/>
      <x:c r="L141" s="38"/>
      <x:c r="M141" s="38"/>
      <x:c r="N141" s="38"/>
      <x:c r="O141" s="38"/>
      <x:c r="P141" s="42" t="str">
        <x:f>IF(A141="","",IF(A141="跳过","跳过",IF(OR(B141="",C141="",LEN(D141)=0,LEN(E141)=0,F141="",G141="",H141="",I141=""),"缺少必填项",IF(COUNTIF('站点与CPU'!$B$5:$B$64,B141)=0,"站点ID不存在",IF(COUNTIF('硬件模块'!$F$5:$F$124,C141)=0,"模块名称不存在",IF(COUNTIF($G$5:$G$164,G141)&gt;1,"符号名称重复",IF(COUNTIF($H$5:$H$164,H141)&gt;1,"逻辑地址重复","通过")))))))</x:f>
      </x:c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8"/>
      <x:c r="K142" s="38"/>
      <x:c r="L142" s="38"/>
      <x:c r="M142" s="38"/>
      <x:c r="N142" s="38"/>
      <x:c r="O142" s="38"/>
      <x:c r="P142" s="42" t="str">
        <x:f>IF(A142="","",IF(A142="跳过","跳过",IF(OR(B142="",C142="",LEN(D142)=0,LEN(E142)=0,F142="",G142="",H142="",I142=""),"缺少必填项",IF(COUNTIF('站点与CPU'!$B$5:$B$64,B142)=0,"站点ID不存在",IF(COUNTIF('硬件模块'!$F$5:$F$124,C142)=0,"模块名称不存在",IF(COUNTIF($G$5:$G$164,G142)&gt;1,"符号名称重复",IF(COUNTIF($H$5:$H$164,H142)&gt;1,"逻辑地址重复","通过")))))))</x:f>
      </x:c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8"/>
      <x:c r="K143" s="38"/>
      <x:c r="L143" s="38"/>
      <x:c r="M143" s="38"/>
      <x:c r="N143" s="38"/>
      <x:c r="O143" s="38"/>
      <x:c r="P143" s="42" t="str">
        <x:f>IF(A143="","",IF(A143="跳过","跳过",IF(OR(B143="",C143="",LEN(D143)=0,LEN(E143)=0,F143="",G143="",H143="",I143=""),"缺少必填项",IF(COUNTIF('站点与CPU'!$B$5:$B$64,B143)=0,"站点ID不存在",IF(COUNTIF('硬件模块'!$F$5:$F$124,C143)=0,"模块名称不存在",IF(COUNTIF($G$5:$G$164,G143)&gt;1,"符号名称重复",IF(COUNTIF($H$5:$H$164,H143)&gt;1,"逻辑地址重复","通过")))))))</x:f>
      </x:c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8"/>
      <x:c r="K144" s="38"/>
      <x:c r="L144" s="38"/>
      <x:c r="M144" s="38"/>
      <x:c r="N144" s="38"/>
      <x:c r="O144" s="38"/>
      <x:c r="P144" s="42" t="str">
        <x:f>IF(A144="","",IF(A144="跳过","跳过",IF(OR(B144="",C144="",LEN(D144)=0,LEN(E144)=0,F144="",G144="",H144="",I144=""),"缺少必填项",IF(COUNTIF('站点与CPU'!$B$5:$B$64,B144)=0,"站点ID不存在",IF(COUNTIF('硬件模块'!$F$5:$F$124,C144)=0,"模块名称不存在",IF(COUNTIF($G$5:$G$164,G144)&gt;1,"符号名称重复",IF(COUNTIF($H$5:$H$164,H144)&gt;1,"逻辑地址重复","通过")))))))</x:f>
      </x:c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8"/>
      <x:c r="K145" s="38"/>
      <x:c r="L145" s="38"/>
      <x:c r="M145" s="38"/>
      <x:c r="N145" s="38"/>
      <x:c r="O145" s="38"/>
      <x:c r="P145" s="42" t="str">
        <x:f>IF(A145="","",IF(A145="跳过","跳过",IF(OR(B145="",C145="",LEN(D145)=0,LEN(E145)=0,F145="",G145="",H145="",I145=""),"缺少必填项",IF(COUNTIF('站点与CPU'!$B$5:$B$64,B145)=0,"站点ID不存在",IF(COUNTIF('硬件模块'!$F$5:$F$124,C145)=0,"模块名称不存在",IF(COUNTIF($G$5:$G$164,G145)&gt;1,"符号名称重复",IF(COUNTIF($H$5:$H$164,H145)&gt;1,"逻辑地址重复","通过")))))))</x:f>
      </x:c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8"/>
      <x:c r="K146" s="38"/>
      <x:c r="L146" s="38"/>
      <x:c r="M146" s="38"/>
      <x:c r="N146" s="38"/>
      <x:c r="O146" s="38"/>
      <x:c r="P146" s="42" t="str">
        <x:f>IF(A146="","",IF(A146="跳过","跳过",IF(OR(B146="",C146="",LEN(D146)=0,LEN(E146)=0,F146="",G146="",H146="",I146=""),"缺少必填项",IF(COUNTIF('站点与CPU'!$B$5:$B$64,B146)=0,"站点ID不存在",IF(COUNTIF('硬件模块'!$F$5:$F$124,C146)=0,"模块名称不存在",IF(COUNTIF($G$5:$G$164,G146)&gt;1,"符号名称重复",IF(COUNTIF($H$5:$H$164,H146)&gt;1,"逻辑地址重复","通过")))))))</x:f>
      </x:c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8"/>
      <x:c r="K147" s="38"/>
      <x:c r="L147" s="38"/>
      <x:c r="M147" s="38"/>
      <x:c r="N147" s="38"/>
      <x:c r="O147" s="38"/>
      <x:c r="P147" s="42" t="str">
        <x:f>IF(A147="","",IF(A147="跳过","跳过",IF(OR(B147="",C147="",LEN(D147)=0,LEN(E147)=0,F147="",G147="",H147="",I147=""),"缺少必填项",IF(COUNTIF('站点与CPU'!$B$5:$B$64,B147)=0,"站点ID不存在",IF(COUNTIF('硬件模块'!$F$5:$F$124,C147)=0,"模块名称不存在",IF(COUNTIF($G$5:$G$164,G147)&gt;1,"符号名称重复",IF(COUNTIF($H$5:$H$164,H147)&gt;1,"逻辑地址重复","通过")))))))</x:f>
      </x:c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8"/>
      <x:c r="K148" s="38"/>
      <x:c r="L148" s="38"/>
      <x:c r="M148" s="38"/>
      <x:c r="N148" s="38"/>
      <x:c r="O148" s="38"/>
      <x:c r="P148" s="42" t="str">
        <x:f>IF(A148="","",IF(A148="跳过","跳过",IF(OR(B148="",C148="",LEN(D148)=0,LEN(E148)=0,F148="",G148="",H148="",I148=""),"缺少必填项",IF(COUNTIF('站点与CPU'!$B$5:$B$64,B148)=0,"站点ID不存在",IF(COUNTIF('硬件模块'!$F$5:$F$124,C148)=0,"模块名称不存在",IF(COUNTIF($G$5:$G$164,G148)&gt;1,"符号名称重复",IF(COUNTIF($H$5:$H$164,H148)&gt;1,"逻辑地址重复","通过")))))))</x:f>
      </x:c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8"/>
      <x:c r="K149" s="38"/>
      <x:c r="L149" s="38"/>
      <x:c r="M149" s="38"/>
      <x:c r="N149" s="38"/>
      <x:c r="O149" s="38"/>
      <x:c r="P149" s="42" t="str">
        <x:f>IF(A149="","",IF(A149="跳过","跳过",IF(OR(B149="",C149="",LEN(D149)=0,LEN(E149)=0,F149="",G149="",H149="",I149=""),"缺少必填项",IF(COUNTIF('站点与CPU'!$B$5:$B$64,B149)=0,"站点ID不存在",IF(COUNTIF('硬件模块'!$F$5:$F$124,C149)=0,"模块名称不存在",IF(COUNTIF($G$5:$G$164,G149)&gt;1,"符号名称重复",IF(COUNTIF($H$5:$H$164,H149)&gt;1,"逻辑地址重复","通过")))))))</x:f>
      </x:c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8"/>
      <x:c r="K150" s="38"/>
      <x:c r="L150" s="38"/>
      <x:c r="M150" s="38"/>
      <x:c r="N150" s="38"/>
      <x:c r="O150" s="38"/>
      <x:c r="P150" s="42" t="str">
        <x:f>IF(A150="","",IF(A150="跳过","跳过",IF(OR(B150="",C150="",LEN(D150)=0,LEN(E150)=0,F150="",G150="",H150="",I150=""),"缺少必填项",IF(COUNTIF('站点与CPU'!$B$5:$B$64,B150)=0,"站点ID不存在",IF(COUNTIF('硬件模块'!$F$5:$F$124,C150)=0,"模块名称不存在",IF(COUNTIF($G$5:$G$164,G150)&gt;1,"符号名称重复",IF(COUNTIF($H$5:$H$164,H150)&gt;1,"逻辑地址重复","通过")))))))</x:f>
      </x:c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8"/>
      <x:c r="K151" s="38"/>
      <x:c r="L151" s="38"/>
      <x:c r="M151" s="38"/>
      <x:c r="N151" s="38"/>
      <x:c r="O151" s="38"/>
      <x:c r="P151" s="42" t="str">
        <x:f>IF(A151="","",IF(A151="跳过","跳过",IF(OR(B151="",C151="",LEN(D151)=0,LEN(E151)=0,F151="",G151="",H151="",I151=""),"缺少必填项",IF(COUNTIF('站点与CPU'!$B$5:$B$64,B151)=0,"站点ID不存在",IF(COUNTIF('硬件模块'!$F$5:$F$124,C151)=0,"模块名称不存在",IF(COUNTIF($G$5:$G$164,G151)&gt;1,"符号名称重复",IF(COUNTIF($H$5:$H$164,H151)&gt;1,"逻辑地址重复","通过")))))))</x:f>
      </x:c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8"/>
      <x:c r="K152" s="38"/>
      <x:c r="L152" s="38"/>
      <x:c r="M152" s="38"/>
      <x:c r="N152" s="38"/>
      <x:c r="O152" s="38"/>
      <x:c r="P152" s="42" t="str">
        <x:f>IF(A152="","",IF(A152="跳过","跳过",IF(OR(B152="",C152="",LEN(D152)=0,LEN(E152)=0,F152="",G152="",H152="",I152=""),"缺少必填项",IF(COUNTIF('站点与CPU'!$B$5:$B$64,B152)=0,"站点ID不存在",IF(COUNTIF('硬件模块'!$F$5:$F$124,C152)=0,"模块名称不存在",IF(COUNTIF($G$5:$G$164,G152)&gt;1,"符号名称重复",IF(COUNTIF($H$5:$H$164,H152)&gt;1,"逻辑地址重复","通过")))))))</x:f>
      </x:c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8"/>
      <x:c r="K153" s="38"/>
      <x:c r="L153" s="38"/>
      <x:c r="M153" s="38"/>
      <x:c r="N153" s="38"/>
      <x:c r="O153" s="38"/>
      <x:c r="P153" s="42" t="str">
        <x:f>IF(A153="","",IF(A153="跳过","跳过",IF(OR(B153="",C153="",LEN(D153)=0,LEN(E153)=0,F153="",G153="",H153="",I153=""),"缺少必填项",IF(COUNTIF('站点与CPU'!$B$5:$B$64,B153)=0,"站点ID不存在",IF(COUNTIF('硬件模块'!$F$5:$F$124,C153)=0,"模块名称不存在",IF(COUNTIF($G$5:$G$164,G153)&gt;1,"符号名称重复",IF(COUNTIF($H$5:$H$164,H153)&gt;1,"逻辑地址重复","通过")))))))</x:f>
      </x:c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8"/>
      <x:c r="K154" s="38"/>
      <x:c r="L154" s="38"/>
      <x:c r="M154" s="38"/>
      <x:c r="N154" s="38"/>
      <x:c r="O154" s="38"/>
      <x:c r="P154" s="42" t="str">
        <x:f>IF(A154="","",IF(A154="跳过","跳过",IF(OR(B154="",C154="",LEN(D154)=0,LEN(E154)=0,F154="",G154="",H154="",I154=""),"缺少必填项",IF(COUNTIF('站点与CPU'!$B$5:$B$64,B154)=0,"站点ID不存在",IF(COUNTIF('硬件模块'!$F$5:$F$124,C154)=0,"模块名称不存在",IF(COUNTIF($G$5:$G$164,G154)&gt;1,"符号名称重复",IF(COUNTIF($H$5:$H$164,H154)&gt;1,"逻辑地址重复","通过")))))))</x:f>
      </x:c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8"/>
      <x:c r="K155" s="38"/>
      <x:c r="L155" s="38"/>
      <x:c r="M155" s="38"/>
      <x:c r="N155" s="38"/>
      <x:c r="O155" s="38"/>
      <x:c r="P155" s="42" t="str">
        <x:f>IF(A155="","",IF(A155="跳过","跳过",IF(OR(B155="",C155="",LEN(D155)=0,LEN(E155)=0,F155="",G155="",H155="",I155=""),"缺少必填项",IF(COUNTIF('站点与CPU'!$B$5:$B$64,B155)=0,"站点ID不存在",IF(COUNTIF('硬件模块'!$F$5:$F$124,C155)=0,"模块名称不存在",IF(COUNTIF($G$5:$G$164,G155)&gt;1,"符号名称重复",IF(COUNTIF($H$5:$H$164,H155)&gt;1,"逻辑地址重复","通过")))))))</x:f>
      </x:c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8"/>
      <x:c r="K156" s="38"/>
      <x:c r="L156" s="38"/>
      <x:c r="M156" s="38"/>
      <x:c r="N156" s="38"/>
      <x:c r="O156" s="38"/>
      <x:c r="P156" s="42" t="str">
        <x:f>IF(A156="","",IF(A156="跳过","跳过",IF(OR(B156="",C156="",LEN(D156)=0,LEN(E156)=0,F156="",G156="",H156="",I156=""),"缺少必填项",IF(COUNTIF('站点与CPU'!$B$5:$B$64,B156)=0,"站点ID不存在",IF(COUNTIF('硬件模块'!$F$5:$F$124,C156)=0,"模块名称不存在",IF(COUNTIF($G$5:$G$164,G156)&gt;1,"符号名称重复",IF(COUNTIF($H$5:$H$164,H156)&gt;1,"逻辑地址重复","通过")))))))</x:f>
      </x:c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8"/>
      <x:c r="K157" s="38"/>
      <x:c r="L157" s="38"/>
      <x:c r="M157" s="38"/>
      <x:c r="N157" s="38"/>
      <x:c r="O157" s="38"/>
      <x:c r="P157" s="42" t="str">
        <x:f>IF(A157="","",IF(A157="跳过","跳过",IF(OR(B157="",C157="",LEN(D157)=0,LEN(E157)=0,F157="",G157="",H157="",I157=""),"缺少必填项",IF(COUNTIF('站点与CPU'!$B$5:$B$64,B157)=0,"站点ID不存在",IF(COUNTIF('硬件模块'!$F$5:$F$124,C157)=0,"模块名称不存在",IF(COUNTIF($G$5:$G$164,G157)&gt;1,"符号名称重复",IF(COUNTIF($H$5:$H$164,H157)&gt;1,"逻辑地址重复","通过")))))))</x:f>
      </x:c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8"/>
      <x:c r="K158" s="38"/>
      <x:c r="L158" s="38"/>
      <x:c r="M158" s="38"/>
      <x:c r="N158" s="38"/>
      <x:c r="O158" s="38"/>
      <x:c r="P158" s="42" t="str">
        <x:f>IF(A158="","",IF(A158="跳过","跳过",IF(OR(B158="",C158="",LEN(D158)=0,LEN(E158)=0,F158="",G158="",H158="",I158=""),"缺少必填项",IF(COUNTIF('站点与CPU'!$B$5:$B$64,B158)=0,"站点ID不存在",IF(COUNTIF('硬件模块'!$F$5:$F$124,C158)=0,"模块名称不存在",IF(COUNTIF($G$5:$G$164,G158)&gt;1,"符号名称重复",IF(COUNTIF($H$5:$H$164,H158)&gt;1,"逻辑地址重复","通过")))))))</x:f>
      </x:c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8"/>
      <x:c r="K159" s="38"/>
      <x:c r="L159" s="38"/>
      <x:c r="M159" s="38"/>
      <x:c r="N159" s="38"/>
      <x:c r="O159" s="38"/>
      <x:c r="P159" s="42" t="str">
        <x:f>IF(A159="","",IF(A159="跳过","跳过",IF(OR(B159="",C159="",LEN(D159)=0,LEN(E159)=0,F159="",G159="",H159="",I159=""),"缺少必填项",IF(COUNTIF('站点与CPU'!$B$5:$B$64,B159)=0,"站点ID不存在",IF(COUNTIF('硬件模块'!$F$5:$F$124,C159)=0,"模块名称不存在",IF(COUNTIF($G$5:$G$164,G159)&gt;1,"符号名称重复",IF(COUNTIF($H$5:$H$164,H159)&gt;1,"逻辑地址重复","通过")))))))</x:f>
      </x:c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8"/>
      <x:c r="K160" s="38"/>
      <x:c r="L160" s="38"/>
      <x:c r="M160" s="38"/>
      <x:c r="N160" s="38"/>
      <x:c r="O160" s="38"/>
      <x:c r="P160" s="42" t="str">
        <x:f>IF(A160="","",IF(A160="跳过","跳过",IF(OR(B160="",C160="",LEN(D160)=0,LEN(E160)=0,F160="",G160="",H160="",I160=""),"缺少必填项",IF(COUNTIF('站点与CPU'!$B$5:$B$64,B160)=0,"站点ID不存在",IF(COUNTIF('硬件模块'!$F$5:$F$124,C160)=0,"模块名称不存在",IF(COUNTIF($G$5:$G$164,G160)&gt;1,"符号名称重复",IF(COUNTIF($H$5:$H$164,H160)&gt;1,"逻辑地址重复","通过")))))))</x:f>
      </x:c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8"/>
      <x:c r="K161" s="38"/>
      <x:c r="L161" s="38"/>
      <x:c r="M161" s="38"/>
      <x:c r="N161" s="38"/>
      <x:c r="O161" s="38"/>
      <x:c r="P161" s="42" t="str">
        <x:f>IF(A161="","",IF(A161="跳过","跳过",IF(OR(B161="",C161="",LEN(D161)=0,LEN(E161)=0,F161="",G161="",H161="",I161=""),"缺少必填项",IF(COUNTIF('站点与CPU'!$B$5:$B$64,B161)=0,"站点ID不存在",IF(COUNTIF('硬件模块'!$F$5:$F$124,C161)=0,"模块名称不存在",IF(COUNTIF($G$5:$G$164,G161)&gt;1,"符号名称重复",IF(COUNTIF($H$5:$H$164,H161)&gt;1,"逻辑地址重复","通过")))))))</x:f>
      </x:c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8"/>
      <x:c r="K162" s="38"/>
      <x:c r="L162" s="38"/>
      <x:c r="M162" s="38"/>
      <x:c r="N162" s="38"/>
      <x:c r="O162" s="38"/>
      <x:c r="P162" s="42" t="str">
        <x:f>IF(A162="","",IF(A162="跳过","跳过",IF(OR(B162="",C162="",LEN(D162)=0,LEN(E162)=0,F162="",G162="",H162="",I162=""),"缺少必填项",IF(COUNTIF('站点与CPU'!$B$5:$B$64,B162)=0,"站点ID不存在",IF(COUNTIF('硬件模块'!$F$5:$F$124,C162)=0,"模块名称不存在",IF(COUNTIF($G$5:$G$164,G162)&gt;1,"符号名称重复",IF(COUNTIF($H$5:$H$164,H162)&gt;1,"逻辑地址重复","通过")))))))</x:f>
      </x:c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8"/>
      <x:c r="K163" s="38"/>
      <x:c r="L163" s="38"/>
      <x:c r="M163" s="38"/>
      <x:c r="N163" s="38"/>
      <x:c r="O163" s="38"/>
      <x:c r="P163" s="42" t="str">
        <x:f>IF(A163="","",IF(A163="跳过","跳过",IF(OR(B163="",C163="",LEN(D163)=0,LEN(E163)=0,F163="",G163="",H163="",I163=""),"缺少必填项",IF(COUNTIF('站点与CPU'!$B$5:$B$64,B163)=0,"站点ID不存在",IF(COUNTIF('硬件模块'!$F$5:$F$124,C163)=0,"模块名称不存在",IF(COUNTIF($G$5:$G$164,G163)&gt;1,"符号名称重复",IF(COUNTIF($H$5:$H$164,H163)&gt;1,"逻辑地址重复","通过")))))))</x:f>
      </x:c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40"/>
      <x:c r="K164" s="40"/>
      <x:c r="L164" s="40"/>
      <x:c r="M164" s="40"/>
      <x:c r="N164" s="40"/>
      <x:c r="O164" s="40"/>
      <x:c r="P164" s="43" t="str">
        <x:f>IF(A164="","",IF(A164="跳过","跳过",IF(OR(B164="",C164="",LEN(D164)=0,LEN(E164)=0,F164="",G164="",H164="",I164=""),"缺少必填项",IF(COUNTIF('站点与CPU'!$B$5:$B$64,B164)=0,"站点ID不存在",IF(COUNTIF('硬件模块'!$F$5:$F$124,C164)=0,"模块名称不存在",IF(COUNTIF($G$5:$G$164,G164)&gt;1,"符号名称重复",IF(COUNTIF($H$5:$H$164,H164)&gt;1,"逻辑地址重复","通过")))))))</x:f>
      </x:c>
    </x:row>
  </x:sheetData>
  <x:mergeCells>
    <x:mergeCell ref="A1:P1"/>
    <x:mergeCell ref="A2:P2"/>
  </x:mergeCells>
  <x:conditionalFormatting sqref="P5:P164">
    <x:cfRule type="containsText" dxfId="12" priority="1" operator="containsText" text="通过"/>
    <x:cfRule type="containsText" dxfId="13" priority="2" operator="containsText" text="缺少"/>
    <x:cfRule type="containsText" dxfId="14" priority="3" operator="containsText" text="重复"/>
    <x:cfRule type="containsText" dxfId="15" priority="4" operator="containsText" text="不存在"/>
  </x:conditionalFormatting>
  <x:dataValidations count="4">
    <x:dataValidation type="list" sqref="A5:A164">
      <x:formula1>选项!$A$2:$A$6</x:formula1>
    </x:dataValidation>
    <x:dataValidation type="list" sqref="F5:F164">
      <x:formula1>选项!$G$2:$G$5</x:formula1>
    </x:dataValidation>
    <x:dataValidation type="list" sqref="I5:I164">
      <x:formula1>选项!$H$2:$H$14</x:formula1>
    </x:dataValidation>
    <x:dataValidation type="whole" operator="between" sqref="D5:E164">
      <x:formula1>0</x:formula1>
      <x:formula2>65535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4878a2f1d2d42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4" customHeight="1">
      <x:c r="A1" s="3" t="str">
        <x:v>模板校验汇总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保存前请确保四个工作表的错误数均为 0。计数会随填写内容自动更新。</x:v>
      </x:c>
      <x:c r="B2" s="6"/>
      <x:c r="C2" s="6"/>
      <x:c r="D2" s="6"/>
      <x:c r="E2" s="6"/>
      <x:c r="F2" s="6"/>
      <x:c r="G2" s="6"/>
      <x:c r="H2" s="6"/>
    </x:row>
    <x:row r="4">
      <x:c r="A4" s="48" t="str">
        <x:v>工作表</x:v>
      </x:c>
      <x:c r="B4" s="48" t="str">
        <x:v>有效数据行</x:v>
      </x:c>
      <x:c r="C4" s="48" t="str">
        <x:v>通过</x:v>
      </x:c>
      <x:c r="D4" s="48" t="str">
        <x:v>错误</x:v>
      </x:c>
    </x:row>
    <x:row r="5">
      <x:c r="A5" s="49" t="str">
        <x:v>站点与CPU</x:v>
      </x:c>
      <x:c r="B5" s="49" t="n">
        <x:f>COUNTIF('站点与CPU'!$A$5:$A$64,"&lt;&gt;")-COUNTIF('站点与CPU'!$A$5:$A$64,"跳过")</x:f>
        <x:v>1</x:v>
      </x:c>
      <x:c r="C5" s="49" t="n">
        <x:f>COUNTIF('站点与CPU'!$R$5:$R$64,"通过")</x:f>
        <x:v>1</x:v>
      </x:c>
      <x:c r="D5" s="49" t="n">
        <x:f>B5-C5</x:f>
        <x:v>0</x:v>
      </x:c>
    </x:row>
    <x:row r="6">
      <x:c r="A6" s="49" t="str">
        <x:v>硬件模块</x:v>
      </x:c>
      <x:c r="B6" s="49" t="n">
        <x:f>COUNTIF('硬件模块'!$A$5:$A$124,"&lt;&gt;")-COUNTIF('硬件模块'!$A$5:$A$124,"跳过")</x:f>
        <x:v>1</x:v>
      </x:c>
      <x:c r="C6" s="49" t="n">
        <x:f>COUNTIF('硬件模块'!$R$5:$R$124,"通过")</x:f>
        <x:v>1</x:v>
      </x:c>
      <x:c r="D6" s="49" t="n">
        <x:f>B6-C6</x:f>
        <x:v>0</x:v>
      </x:c>
    </x:row>
    <x:row r="7">
      <x:c r="A7" s="49" t="str">
        <x:v>网络连接</x:v>
      </x:c>
      <x:c r="B7" s="49" t="n">
        <x:f>COUNTIF('网络连接'!$A$5:$A$84,"&lt;&gt;")-COUNTIF('网络连接'!$A$5:$A$84,"跳过")</x:f>
        <x:v>1</x:v>
      </x:c>
      <x:c r="C7" s="49" t="n">
        <x:f>COUNTIF('网络连接'!$O$5:$O$84,"通过")</x:f>
        <x:v>1</x:v>
      </x:c>
      <x:c r="D7" s="49" t="n">
        <x:f>B7-C7</x:f>
        <x:v>0</x:v>
      </x:c>
    </x:row>
    <x:row r="8">
      <x:c r="A8" s="49" t="str">
        <x:v>IO映射</x:v>
      </x:c>
      <x:c r="B8" s="49" t="n">
        <x:f>COUNTIF('IO映射'!$A$5:$A$164,"&lt;&gt;")-COUNTIF('IO映射'!$A$5:$A$164,"跳过")</x:f>
        <x:v>1</x:v>
      </x:c>
      <x:c r="C8" s="49" t="n">
        <x:f>COUNTIF('IO映射'!$P$5:$P$164,"通过")</x:f>
        <x:v>1</x:v>
      </x:c>
      <x:c r="D8" s="49" t="n">
        <x:f>B8-C8</x:f>
        <x:v>0</x:v>
      </x:c>
    </x:row>
    <x:row r="10">
      <x:c r="A10" s="45" t="str">
        <x:v>总数据行</x:v>
      </x:c>
      <x:c r="B10" s="45" t="str">
        <x:v>总错误</x:v>
      </x:c>
      <x:c r="C10" s="45" t="str">
        <x:v>提交状态</x:v>
      </x:c>
    </x:row>
    <x:row r="11" ht="32" customHeight="1">
      <x:c r="A11" s="47" t="n">
        <x:f>SUM(B5:B8)</x:f>
        <x:v>4</x:v>
      </x:c>
      <x:c r="B11" s="47" t="n">
        <x:f>SUM(D5:D8)</x:f>
        <x:v>0</x:v>
      </x:c>
      <x:c r="C11" s="47" t="str">
        <x:f>IF(A11=0,"尚未填写",IF(B11=0,"可提交","请先修正错误"))</x:f>
        <x:v>可提交</x:v>
      </x:c>
    </x:row>
  </x:sheetData>
  <x:mergeCells>
    <x:mergeCell ref="A1:H1"/>
    <x:mergeCell ref="A2:H2"/>
  </x:mergeCells>
  <x:conditionalFormatting sqref="C11:C11">
    <x:cfRule type="containsText" dxfId="16" priority="1" operator="containsText" text="可提交"/>
    <x:cfRule type="containsText" dxfId="17" priority="2" operator="containsText" text="修正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1" t="str">
        <x:v>操作</x:v>
      </x:c>
      <x:c r="B1" s="51" t="str">
        <x:v>站点类型</x:v>
      </x:c>
      <x:c r="C1" s="51" t="str">
        <x:v>TIA版本</x:v>
      </x:c>
      <x:c r="D1" s="51" t="str">
        <x:v>模块类型</x:v>
      </x:c>
      <x:c r="E1" s="51" t="str">
        <x:v>网络类型</x:v>
      </x:c>
      <x:c r="F1" s="51" t="str">
        <x:v>同步角色</x:v>
      </x:c>
      <x:c r="G1" s="51" t="str">
        <x:v>方向</x:v>
      </x:c>
      <x:c r="H1" s="51" t="str">
        <x:v>数据类型</x:v>
      </x:c>
    </x:row>
    <x:row r="2">
      <x:c r="A2" s="15" t="str">
        <x:v>新建</x:v>
      </x:c>
      <x:c r="B2" s="15" t="str">
        <x:v>PLC</x:v>
      </x:c>
      <x:c r="C2" s="15" t="str">
        <x:v>V15.1</x:v>
      </x:c>
      <x:c r="D2" s="15" t="str">
        <x:v>CPU</x:v>
      </x:c>
      <x:c r="E2" s="15" t="str">
        <x:v>PROFINET</x:v>
      </x:c>
      <x:c r="F2" s="15" t="str">
        <x:v>IO控制器</x:v>
      </x:c>
      <x:c r="G2" s="15" t="str">
        <x:v>输入</x:v>
      </x:c>
      <x:c r="H2" s="15" t="str">
        <x:v>Bool</x:v>
      </x:c>
    </x:row>
    <x:row r="3">
      <x:c r="A3" s="15" t="str">
        <x:v>更新</x:v>
      </x:c>
      <x:c r="B3" s="15" t="str">
        <x:v>远程IO</x:v>
      </x:c>
      <x:c r="C3" s="15" t="str">
        <x:v>V16</x:v>
      </x:c>
      <x:c r="D3" s="15" t="str">
        <x:v>电源</x:v>
      </x:c>
      <x:c r="E3" s="15" t="str">
        <x:v>PROFIBUS</x:v>
      </x:c>
      <x:c r="F3" s="15" t="str">
        <x:v>IO设备</x:v>
      </x:c>
      <x:c r="G3" s="15" t="str">
        <x:v>输出</x:v>
      </x:c>
      <x:c r="H3" s="15" t="str">
        <x:v>Byte</x:v>
      </x:c>
    </x:row>
    <x:row r="4">
      <x:c r="A4" s="15" t="str">
        <x:v>克隆</x:v>
      </x:c>
      <x:c r="B4" s="15" t="str">
        <x:v>HMI</x:v>
      </x:c>
      <x:c r="C4" s="15" t="str">
        <x:v>V17</x:v>
      </x:c>
      <x:c r="D4" s="15" t="str">
        <x:v>数字量输入</x:v>
      </x:c>
      <x:c r="E4" s="15" t="str">
        <x:v>工业以太网</x:v>
      </x:c>
      <x:c r="F4" s="15" t="str">
        <x:v>IRT同步主站</x:v>
      </x:c>
      <x:c r="G4" s="15" t="str">
        <x:v>双向</x:v>
      </x:c>
      <x:c r="H4" s="15" t="str">
        <x:v>Word</x:v>
      </x:c>
    </x:row>
    <x:row r="5">
      <x:c r="A5" s="15" t="str">
        <x:v>删除</x:v>
      </x:c>
      <x:c r="B5" s="15" t="str">
        <x:v>驱动</x:v>
      </x:c>
      <x:c r="C5" s="15" t="str">
        <x:v>V18</x:v>
      </x:c>
      <x:c r="D5" s="15" t="str">
        <x:v>数字量输出</x:v>
      </x:c>
      <x:c r="E5" s="15" t="str">
        <x:v>MPI</x:v>
      </x:c>
      <x:c r="F5" s="15" t="str">
        <x:v>IRT同步从站</x:v>
      </x:c>
      <x:c r="G5" s="15" t="str">
        <x:v>诊断</x:v>
      </x:c>
      <x:c r="H5" s="15" t="str">
        <x:v>DWord</x:v>
      </x:c>
    </x:row>
    <x:row r="6">
      <x:c r="A6" s="15" t="str">
        <x:v>跳过</x:v>
      </x:c>
      <x:c r="B6" s="15" t="str">
        <x:v>网络设备</x:v>
      </x:c>
      <x:c r="C6" s="15" t="str">
        <x:v>V19</x:v>
      </x:c>
      <x:c r="D6" s="15" t="str">
        <x:v>模拟量输入</x:v>
      </x:c>
      <x:c r="E6" s="15" t="str">
        <x:v>其他</x:v>
      </x:c>
      <x:c r="F6" s="15"/>
      <x:c r="G6" s="15"/>
      <x:c r="H6" s="15" t="str">
        <x:v>Int</x:v>
      </x:c>
    </x:row>
    <x:row r="7">
      <x:c r="A7" s="15"/>
      <x:c r="B7" s="15" t="str">
        <x:v>其他</x:v>
      </x:c>
      <x:c r="C7" s="15" t="str">
        <x:v>V20</x:v>
      </x:c>
      <x:c r="D7" s="15" t="str">
        <x:v>模拟量输出</x:v>
      </x:c>
      <x:c r="E7" s="15"/>
      <x:c r="F7" s="15"/>
      <x:c r="G7" s="15"/>
      <x:c r="H7" s="15" t="str">
        <x:v>DInt</x:v>
      </x:c>
    </x:row>
    <x:row r="8">
      <x:c r="A8" s="15"/>
      <x:c r="B8" s="15"/>
      <x:c r="C8" s="15" t="str">
        <x:v>V21</x:v>
      </x:c>
      <x:c r="D8" s="15" t="str">
        <x:v>混合IO</x:v>
      </x:c>
      <x:c r="E8" s="15"/>
      <x:c r="F8" s="15"/>
      <x:c r="G8" s="15"/>
      <x:c r="H8" s="15" t="str">
        <x:v>UInt</x:v>
      </x:c>
    </x:row>
    <x:row r="9">
      <x:c r="A9" s="15"/>
      <x:c r="B9" s="15"/>
      <x:c r="C9" s="15"/>
      <x:c r="D9" s="15" t="str">
        <x:v>通信</x:v>
      </x:c>
      <x:c r="E9" s="15"/>
      <x:c r="F9" s="15"/>
      <x:c r="G9" s="15"/>
      <x:c r="H9" s="15" t="str">
        <x:v>UDInt</x:v>
      </x:c>
    </x:row>
    <x:row r="10">
      <x:c r="A10" s="15"/>
      <x:c r="B10" s="15"/>
      <x:c r="C10" s="15"/>
      <x:c r="D10" s="15" t="str">
        <x:v>安全</x:v>
      </x:c>
      <x:c r="E10" s="15"/>
      <x:c r="F10" s="15"/>
      <x:c r="G10" s="15"/>
      <x:c r="H10" s="15" t="str">
        <x:v>Real</x:v>
      </x:c>
    </x:row>
    <x:row r="11">
      <x:c r="A11" s="15"/>
      <x:c r="B11" s="15"/>
      <x:c r="C11" s="15"/>
      <x:c r="D11" s="15" t="str">
        <x:v>工艺</x:v>
      </x:c>
      <x:c r="E11" s="15"/>
      <x:c r="F11" s="15"/>
      <x:c r="G11" s="15"/>
      <x:c r="H11" s="15" t="str">
        <x:v>LReal</x:v>
      </x:c>
    </x:row>
    <x:row r="12">
      <x:c r="A12" s="15"/>
      <x:c r="B12" s="15"/>
      <x:c r="C12" s="15"/>
      <x:c r="D12" s="15" t="str">
        <x:v>接口模块</x:v>
      </x:c>
      <x:c r="E12" s="15"/>
      <x:c r="F12" s="15"/>
      <x:c r="G12" s="15"/>
      <x:c r="H12" s="15" t="str">
        <x:v>Time</x:v>
      </x:c>
    </x:row>
    <x:row r="13">
      <x:c r="A13" s="15"/>
      <x:c r="B13" s="15"/>
      <x:c r="C13" s="15"/>
      <x:c r="D13" s="15" t="str">
        <x:v>信号板</x:v>
      </x:c>
      <x:c r="E13" s="15"/>
      <x:c r="F13" s="15"/>
      <x:c r="G13" s="15"/>
      <x:c r="H13" s="15" t="str">
        <x:v>Date</x:v>
      </x:c>
    </x:row>
    <x:row r="14">
      <x:c r="A14" s="15"/>
      <x:c r="B14" s="15"/>
      <x:c r="C14" s="15"/>
      <x:c r="D14" s="15" t="str">
        <x:v>其他</x:v>
      </x:c>
      <x:c r="E14" s="15"/>
      <x:c r="F14" s="15"/>
      <x:c r="G14" s="15"/>
      <x:c r="H14" s="15" t="str">
        <x:v>其他</x:v>
      </x:c>
    </x:row>
    <x:row r="15">
      <x:c r="A15" s="15"/>
      <x:c r="B15" s="15"/>
      <x:c r="C15" s="15"/>
      <x:c r="D15" s="15"/>
      <x:c r="E15" s="15"/>
      <x:c r="F15" s="15"/>
      <x:c r="G15" s="15"/>
      <x:c r="H15" s="15"/>
    </x:row>
  </x:sheetData>
  <x:pageMargins left="0.7" right="0.7" top="0.75" bottom="0.75" header="0.3" footer="0.3"/>
</x:worksheet>
</file>